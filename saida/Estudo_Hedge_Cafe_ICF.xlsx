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arametros" sheetId="2" state="visible" r:id="rId2"/>
    <sheet name="Dimensionamento" sheetId="3" state="visible" r:id="rId3"/>
    <sheet name="Cenarios" sheetId="4" state="visible" r:id="rId4"/>
    <sheet name="Opcoes" sheetId="5" state="visible" r:id="rId5"/>
    <sheet name="Estruturas" sheetId="6" state="visible" r:id="rId6"/>
    <sheet name="Programa de hedge" sheetId="7" state="visible" r:id="rId7"/>
    <sheet name="Breakeven opco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(R$ #,##0.00);-"/>
    <numFmt numFmtId="165" formatCode="US$ #,##0.00;(US$ #,##0.00);-"/>
    <numFmt numFmtId="166" formatCode="0.0%"/>
    <numFmt numFmtId="167" formatCode="R$ #,##0;(R$ #,##0)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3" fontId="6" fillId="3" borderId="1" pivotButton="0" quotePrefix="0" xfId="0"/>
    <xf numFmtId="0" fontId="2" fillId="0" borderId="0" applyAlignment="1" pivotButton="0" quotePrefix="0" xfId="0">
      <alignment horizontal="left" vertical="center" wrapText="1"/>
    </xf>
    <xf numFmtId="164" fontId="6" fillId="3" borderId="1" pivotButton="0" quotePrefix="0" xfId="0"/>
    <xf numFmtId="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10" fontId="6" fillId="3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3" fontId="7" fillId="0" borderId="1" pivotButton="0" quotePrefix="0" xfId="0"/>
    <xf numFmtId="166" fontId="7" fillId="0" borderId="1" pivotButton="0" quotePrefix="0" xfId="0"/>
    <xf numFmtId="4" fontId="4" fillId="0" borderId="1" pivotButton="0" quotePrefix="0" xfId="0"/>
    <xf numFmtId="3" fontId="8" fillId="4" borderId="1" pivotButton="0" quotePrefix="0" xfId="0"/>
    <xf numFmtId="3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7" fontId="8" fillId="4" borderId="1" pivotButton="0" quotePrefix="0" xfId="0"/>
    <xf numFmtId="164" fontId="4" fillId="0" borderId="1" pivotButton="0" quotePrefix="0" xfId="0"/>
    <xf numFmtId="165" fontId="8" fillId="4" borderId="1" pivotButton="0" quotePrefix="0" xfId="0"/>
    <xf numFmtId="165" fontId="7" fillId="0" borderId="1" pivotButton="0" quotePrefix="0" xfId="0"/>
    <xf numFmtId="4" fontId="7" fillId="0" borderId="1" pivotButton="0" quotePrefix="0" xfId="0"/>
    <xf numFmtId="164" fontId="7" fillId="0" borderId="1" pivotButton="0" quotePrefix="0" xfId="0"/>
    <xf numFmtId="167" fontId="7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165" fontId="4" fillId="0" borderId="1" pivotButton="0" quotePrefix="0" xfId="0"/>
    <xf numFmtId="167" fontId="5" fillId="4" borderId="1" pivotButton="0" quotePrefix="0" xfId="0"/>
    <xf numFmtId="167" fontId="5" fillId="0" borderId="1" pivotButton="0" quotePrefix="0" xfId="0"/>
    <xf numFmtId="166" fontId="5" fillId="0" borderId="1" pivotButton="0" quotePrefix="0" xfId="0"/>
    <xf numFmtId="10" fontId="7" fillId="0" borderId="1" pivotButton="0" quotePrefix="0" xfId="0"/>
    <xf numFmtId="165" fontId="5" fillId="0" borderId="1" pivotButton="0" quotePrefix="0" xfId="0"/>
    <xf numFmtId="164" fontId="5" fillId="4" borderId="1" pivotButton="0" quotePrefix="0" xfId="0"/>
    <xf numFmtId="4" fontId="2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3" fontId="5" fillId="0" borderId="1" pivotButton="0" quotePrefix="0" xfId="0"/>
    <xf numFmtId="4" fontId="5" fillId="0" borderId="1" pivotButton="0" quotePrefix="0" xfId="0"/>
    <xf numFmtId="165" fontId="5" fillId="4" borderId="1" pivotButton="0" quotePrefix="0" xfId="0"/>
    <xf numFmtId="166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Estudo</author>
  </authors>
  <commentList>
    <comment ref="C13" authorId="0" shapeId="0">
      <text>
        <t>Fonte do exemplo: ICF Dez/26 a US$368,40 em 03/08/2026 (cotacaodocafe.com).
Substituir pela tela da XP no dia da operacao.</t>
      </text>
    </comment>
    <comment ref="C23" authorId="0" shapeId="0">
      <text>
        <t>Percentual de margem citado publicamente (~4,88% do nocional). Nao e valor oficial garantido - confirmar com a XP.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6" customWidth="1" min="3" max="3"/>
  </cols>
  <sheetData>
    <row r="2">
      <c r="B2" s="1" t="inlineStr">
        <is>
          <t>Estudo de hedge de cafe arabica - calculadora</t>
        </is>
      </c>
    </row>
    <row r="3">
      <c r="B3" s="2" t="inlineStr">
        <is>
          <t>Cliente comprador/estocador de cafe (long fisico) - operacao via XP Investimentos</t>
        </is>
      </c>
    </row>
    <row r="5">
      <c r="B5" s="3" t="inlineStr">
        <is>
          <t>COMO USAR</t>
        </is>
      </c>
      <c r="C5" s="4" t="inlineStr"/>
    </row>
    <row r="6" ht="30" customHeight="1">
      <c r="B6" s="5" t="inlineStr">
        <is>
          <t>1. Preencha a aba Parametros</t>
        </is>
      </c>
      <c r="C6" s="6" t="inlineStr">
        <is>
          <t>Todas as celulas AZUIS com fundo amarelo. Sao os unicos numeros que voce digita. O resto da planilha recalcula sozinho.</t>
        </is>
      </c>
    </row>
    <row r="7" ht="30" customHeight="1">
      <c r="B7" s="5" t="inlineStr">
        <is>
          <t>2. Confira Dimensionamento</t>
        </is>
      </c>
      <c r="C7" s="6" t="inlineStr">
        <is>
          <t>Quantos contratos ICF vender, quantas sacas ficam descobertas pelo arredondamento e quanto de margem a operacao consome.</t>
        </is>
      </c>
    </row>
    <row r="8" ht="30" customHeight="1">
      <c r="B8" s="5" t="inlineStr">
        <is>
          <t>3. Rode a aba Cenarios</t>
        </is>
      </c>
      <c r="C8" s="6" t="inlineStr">
        <is>
          <t>Mostra o resultado do fisico, do hedge e do combinado para quedas e altas de preco. E aqui que se ve o hedge funcionando.</t>
        </is>
      </c>
    </row>
    <row r="9" ht="30" customHeight="1">
      <c r="B9" s="5" t="inlineStr">
        <is>
          <t>4. Veja Opcoes e Estruturas</t>
        </is>
      </c>
      <c r="C9" s="6" t="inlineStr">
        <is>
          <t>Precos teoricos (Black-76) de put e call sobre o futuro, e a comparacao entre nao fazer nada, vender futuro, comprar put e montar collar.</t>
        </is>
      </c>
    </row>
    <row r="10" ht="30" customHeight="1">
      <c r="B10" s="5" t="inlineStr">
        <is>
          <t>5. Use Programa de hedge</t>
        </is>
      </c>
      <c r="C10" s="6" t="inlineStr">
        <is>
          <t>Constroi o PRECO MEDIO travado ao longo da safra, vendendo em tranches em vez de tudo de uma vez.</t>
        </is>
      </c>
    </row>
    <row r="12">
      <c r="B12" s="3" t="inlineStr">
        <is>
          <t>LEGENDA DE CORES</t>
        </is>
      </c>
      <c r="C12" s="4" t="inlineStr"/>
    </row>
    <row r="13">
      <c r="B13" s="7" t="inlineStr">
        <is>
          <t>Azul com fundo amarelo</t>
        </is>
      </c>
      <c r="C13" s="6" t="inlineStr">
        <is>
          <t>Input - voce digita. Unicas celulas que devem ser alteradas.</t>
        </is>
      </c>
    </row>
    <row r="14">
      <c r="B14" s="6" t="inlineStr">
        <is>
          <t>Preto</t>
        </is>
      </c>
      <c r="C14" s="6" t="inlineStr">
        <is>
          <t>Formula calculada nesta aba.</t>
        </is>
      </c>
    </row>
    <row r="15">
      <c r="B15" s="8" t="inlineStr">
        <is>
          <t>Verde</t>
        </is>
      </c>
      <c r="C15" s="6" t="inlineStr">
        <is>
          <t>Formula que busca valor em outra aba.</t>
        </is>
      </c>
    </row>
    <row r="17">
      <c r="B17" s="3" t="inlineStr">
        <is>
          <t>AVISOS IMPORTANTES</t>
        </is>
      </c>
      <c r="C17" s="4" t="inlineStr"/>
    </row>
    <row r="18" ht="28" customHeight="1">
      <c r="B18" s="9" t="inlineStr">
        <is>
          <t>-</t>
        </is>
      </c>
      <c r="C18" s="6" t="inlineStr">
        <is>
          <t>Os precos de referencia pre-preenchidos sao de agosto/2026 e servem apenas de exemplo. Atualize com a tela da XP antes de usar com o cliente.</t>
        </is>
      </c>
    </row>
    <row r="19" ht="28" customHeight="1">
      <c r="B19" s="9" t="inlineStr">
        <is>
          <t>-</t>
        </is>
      </c>
      <c r="C19" s="6" t="inlineStr">
        <is>
          <t>Os premios de opcao calculados aqui sao TEORICOS (modelo Black-76). O premio real e o que a mesa/tela da XP mostrar - a liquidez de opcao de cafe na B3 e baixa e o spread pode ser largo.</t>
        </is>
      </c>
    </row>
    <row r="20" ht="28" customHeight="1">
      <c r="B20" s="9" t="inlineStr">
        <is>
          <t>-</t>
        </is>
      </c>
      <c r="C20" s="6" t="inlineStr">
        <is>
          <t>Percentual de margem, corretagem e emolumentos precisam ser confirmados com a XP - variam por cliente e por contrato.</t>
        </is>
      </c>
    </row>
    <row r="21" ht="28" customHeight="1">
      <c r="B21" s="9" t="inlineStr">
        <is>
          <t>-</t>
        </is>
      </c>
      <c r="C21" s="6" t="inlineStr">
        <is>
          <t>O contrato ICF e cotado em US$/saca. Se o cliente compra e vende em reais, existe risco de cambio ALEM do risco de cafe. A aba Parametros separa cambio de hoje e cambio no vencimento justamente para voce medir isso.</t>
        </is>
      </c>
    </row>
    <row r="22" ht="28" customHeight="1">
      <c r="B22" s="9" t="inlineStr">
        <is>
          <t>-</t>
        </is>
      </c>
      <c r="C22" s="6" t="inlineStr">
        <is>
          <t>O basis (diferenca entre o preco local que o cliente pratica e o ICF convertido em reais) e o risco que o hedge NAO elimina. Preencha com os numeros reais do cliente, nao com estimativa.</t>
        </is>
      </c>
    </row>
    <row r="23" ht="28" customHeight="1">
      <c r="B23" s="9" t="inlineStr">
        <is>
          <t>-</t>
        </is>
      </c>
      <c r="C23" s="6" t="inlineStr">
        <is>
          <t>Esta planilha e ferramenta de estudo, nao recomendacao de investimento. A decisao de hedge e do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2" customWidth="1" min="4" max="4"/>
    <col width="62" customWidth="1" min="5" max="5"/>
  </cols>
  <sheetData>
    <row r="2">
      <c r="B2" s="1" t="inlineStr">
        <is>
          <t>Parametros do estudo</t>
        </is>
      </c>
    </row>
    <row r="3">
      <c r="B3" s="2" t="inlineStr">
        <is>
          <t>Digite somente nas celulas azuis/amarelas.</t>
        </is>
      </c>
    </row>
    <row r="5">
      <c r="B5" s="3" t="inlineStr">
        <is>
          <t>1. Posicao fisica do cliente</t>
        </is>
      </c>
      <c r="C5" s="4" t="inlineStr"/>
      <c r="D5" s="4" t="inlineStr"/>
      <c r="E5" s="4" t="inlineStr"/>
    </row>
    <row r="6" ht="26" customHeight="1">
      <c r="B6" s="6" t="inlineStr">
        <is>
          <t>Volume anual comprado</t>
        </is>
      </c>
      <c r="C6" s="10" t="n">
        <v>5000</v>
      </c>
      <c r="D6" s="11" t="inlineStr">
        <is>
          <t>sacas 60kg</t>
        </is>
      </c>
      <c r="E6" s="11" t="inlineStr">
        <is>
          <t>Informado: ate 5.000 sacas/ano.</t>
        </is>
      </c>
    </row>
    <row r="7" ht="26" customHeight="1">
      <c r="B7" s="6" t="inlineStr">
        <is>
          <t>Estoque medio carregado por vez</t>
        </is>
      </c>
      <c r="C7" s="10" t="n">
        <v>1500</v>
      </c>
      <c r="D7" s="11" t="inlineStr">
        <is>
          <t>sacas 60kg</t>
        </is>
      </c>
      <c r="E7" s="11" t="inlineStr">
        <is>
          <t>Quantas sacas ficam expostas ao mesmo tempo. E ISSO que se protege, nao o volume anual.</t>
        </is>
      </c>
    </row>
    <row r="8" ht="26" customHeight="1">
      <c r="B8" s="6" t="inlineStr">
        <is>
          <t>Preco medio de compra do fisico</t>
        </is>
      </c>
      <c r="C8" s="12" t="n">
        <v>1780</v>
      </c>
      <c r="D8" s="11" t="inlineStr">
        <is>
          <t>R$/saca</t>
        </is>
      </c>
      <c r="E8" s="11" t="inlineStr">
        <is>
          <t>Custo de aquisicao no produtor. Substituir pelo numero real do cliente.</t>
        </is>
      </c>
    </row>
    <row r="9" ht="26" customHeight="1">
      <c r="B9" s="6" t="inlineStr">
        <is>
          <t>Prazo medio de carrego do estoque</t>
        </is>
      </c>
      <c r="C9" s="13" t="n">
        <v>3</v>
      </c>
      <c r="D9" s="11" t="inlineStr">
        <is>
          <t>meses</t>
        </is>
      </c>
      <c r="E9" s="11" t="inlineStr">
        <is>
          <t>Tempo entre comprar e revender. Define qual vencimento ICF usar.</t>
        </is>
      </c>
    </row>
    <row r="10" ht="26" customHeight="1">
      <c r="B10" s="6" t="inlineStr">
        <is>
          <t>Custo de carrego (armazenagem + financeiro)</t>
        </is>
      </c>
      <c r="C10" s="12" t="n">
        <v>22</v>
      </c>
      <c r="D10" s="11" t="inlineStr">
        <is>
          <t>R$/saca/mes</t>
        </is>
      </c>
      <c r="E10" s="11" t="inlineStr">
        <is>
          <t>Armazenagem, seguro, quebra e custo de capital. Confirmar com o cliente.</t>
        </is>
      </c>
    </row>
    <row r="12">
      <c r="B12" s="3" t="inlineStr">
        <is>
          <t>2. Mercado - atualizar com a tela da XP</t>
        </is>
      </c>
      <c r="C12" s="4" t="inlineStr"/>
      <c r="D12" s="4" t="inlineStr"/>
      <c r="E12" s="4" t="inlineStr"/>
    </row>
    <row r="13" ht="26" customHeight="1">
      <c r="B13" s="6" t="inlineStr">
        <is>
          <t>ICF - preco do vencimento a ser vendido</t>
        </is>
      </c>
      <c r="C13" s="14" t="n">
        <v>368.4</v>
      </c>
      <c r="D13" s="11" t="inlineStr">
        <is>
          <t>US$/saca</t>
        </is>
      </c>
      <c r="E13" s="11" t="inlineStr">
        <is>
          <t>Ref. Dez/26 em 03/08/2026 (exemplo). Cotado em US$ por saca de 60kg.</t>
        </is>
      </c>
    </row>
    <row r="14" ht="26" customHeight="1">
      <c r="B14" s="6" t="inlineStr">
        <is>
          <t>ICF - vencimento mais curto (referencia)</t>
        </is>
      </c>
      <c r="C14" s="14" t="n">
        <v>391.6</v>
      </c>
      <c r="D14" s="11" t="inlineStr">
        <is>
          <t>US$/saca</t>
        </is>
      </c>
      <c r="E14" s="11" t="inlineStr">
        <is>
          <t>Ref. Set/26 em 03/08/2026. Serve para medir se o mercado esta invertido.</t>
        </is>
      </c>
    </row>
    <row r="15" ht="26" customHeight="1">
      <c r="B15" s="6" t="inlineStr">
        <is>
          <t>Cambio hoje (USD/BRL)</t>
        </is>
      </c>
      <c r="C15" s="13" t="n">
        <v>5.2</v>
      </c>
      <c r="D15" s="11" t="inlineStr">
        <is>
          <t>R$/US$</t>
        </is>
      </c>
      <c r="E15" s="11" t="inlineStr">
        <is>
          <t>Ref. 17/08/2026 (exemplo). Atualizar.</t>
        </is>
      </c>
    </row>
    <row r="16" ht="26" customHeight="1">
      <c r="B16" s="6" t="inlineStr">
        <is>
          <t>Cambio projetado no vencimento (USD/BRL)</t>
        </is>
      </c>
      <c r="C16" s="13" t="n">
        <v>5.2</v>
      </c>
      <c r="D16" s="11" t="inlineStr">
        <is>
          <t>R$/US$</t>
        </is>
      </c>
      <c r="E16" s="11" t="inlineStr">
        <is>
          <t>Deixe igual ao de hoje para isolar o risco de cafe. Mude para estressar o cambio.</t>
        </is>
      </c>
    </row>
    <row r="17" ht="26" customHeight="1">
      <c r="B17" s="6" t="inlineStr">
        <is>
          <t>Basis de compra (fisico pago - ICF em R$)</t>
        </is>
      </c>
      <c r="C17" s="12" t="n">
        <v>-30</v>
      </c>
      <c r="D17" s="11" t="inlineStr">
        <is>
          <t>R$/saca</t>
        </is>
      </c>
      <c r="E17" s="11" t="inlineStr">
        <is>
          <t>Negativo = cliente compra abaixo da bolsa. Medir com as notas reais do cliente.</t>
        </is>
      </c>
    </row>
    <row r="18" ht="26" customHeight="1">
      <c r="B18" s="6" t="inlineStr">
        <is>
          <t>Basis de venda (fisico recebido - ICF em R$)</t>
        </is>
      </c>
      <c r="C18" s="12" t="n">
        <v>40</v>
      </c>
      <c r="D18" s="11" t="inlineStr">
        <is>
          <t>R$/saca</t>
        </is>
      </c>
      <c r="E18" s="11" t="inlineStr">
        <is>
          <t>Positivo = cliente revende acima da bolsa. E a margem comercial dele.</t>
        </is>
      </c>
    </row>
    <row r="20">
      <c r="B20" s="3" t="inlineStr">
        <is>
          <t>3. Politica de hedge</t>
        </is>
      </c>
      <c r="C20" s="4" t="inlineStr"/>
      <c r="D20" s="4" t="inlineStr"/>
      <c r="E20" s="4" t="inlineStr"/>
    </row>
    <row r="21" ht="26" customHeight="1">
      <c r="B21" s="6" t="inlineStr">
        <is>
          <t>Razao de hedge desejada</t>
        </is>
      </c>
      <c r="C21" s="15" t="n">
        <v>0.8</v>
      </c>
      <c r="D21" s="11" t="inlineStr">
        <is>
          <t>% do estoque</t>
        </is>
      </c>
      <c r="E21" s="11" t="inlineStr">
        <is>
          <t>Percentual do estoque exposto que sera protegido. 0% = sem hedge, 100% = hedge total.</t>
        </is>
      </c>
    </row>
    <row r="22" ht="26" customHeight="1">
      <c r="B22" s="6" t="inlineStr">
        <is>
          <t>Sacas por contrato ICF</t>
        </is>
      </c>
      <c r="C22" s="10" t="n">
        <v>100</v>
      </c>
      <c r="D22" s="11" t="inlineStr">
        <is>
          <t>sacas</t>
        </is>
      </c>
      <c r="E22" s="11" t="inlineStr">
        <is>
          <t>Especificacao B3: 1 contrato ICF = 100 sacas de 60kg. Nao alterar.</t>
        </is>
      </c>
    </row>
    <row r="23" ht="26" customHeight="1">
      <c r="B23" s="6" t="inlineStr">
        <is>
          <t>Margem de garantia exigida</t>
        </is>
      </c>
      <c r="C23" s="16" t="n">
        <v>0.0488</v>
      </c>
      <c r="D23" s="11" t="inlineStr">
        <is>
          <t>% do nocional</t>
        </is>
      </c>
      <c r="E23" s="11" t="inlineStr">
        <is>
          <t>CONFIRMAR COM A XP. Valor de mercado citado publicamente ~4,88%, mas varia.</t>
        </is>
      </c>
    </row>
    <row r="24" ht="26" customHeight="1">
      <c r="B24" s="6" t="inlineStr">
        <is>
          <t>Colchao de margem para chamada</t>
        </is>
      </c>
      <c r="C24" s="13" t="n">
        <v>3</v>
      </c>
      <c r="D24" s="11" t="inlineStr">
        <is>
          <t>x margem inicial</t>
        </is>
      </c>
      <c r="E24" s="11" t="inlineStr">
        <is>
          <t>O colchao em % do nocional e (multiplicador-1) x % de margem. Com 1,5x o cliente aguenta so ~2,4% de alta - pouco para cafe. 3x a 4x e o razoavel.</t>
        </is>
      </c>
    </row>
    <row r="25" ht="26" customHeight="1">
      <c r="B25" s="6" t="inlineStr">
        <is>
          <t>Custo por contrato (corretagem + emolumentos, ida e volta)</t>
        </is>
      </c>
      <c r="C25" s="12" t="n">
        <v>25</v>
      </c>
      <c r="D25" s="11" t="inlineStr">
        <is>
          <t>R$/contrato</t>
        </is>
      </c>
      <c r="E25" s="11" t="inlineStr">
        <is>
          <t>CONFIRMAR COM A XP.</t>
        </is>
      </c>
    </row>
    <row r="27">
      <c r="B27" s="3" t="inlineStr">
        <is>
          <t>4. Opcoes sobre futuro de ICF (para Black-76)</t>
        </is>
      </c>
      <c r="C27" s="4" t="inlineStr"/>
      <c r="D27" s="4" t="inlineStr"/>
      <c r="E27" s="4" t="inlineStr"/>
    </row>
    <row r="28" ht="26" customHeight="1">
      <c r="B28" s="6" t="inlineStr">
        <is>
          <t>Volatilidade implicita</t>
        </is>
      </c>
      <c r="C28" s="15" t="n">
        <v>0.38</v>
      </c>
      <c r="D28" s="11" t="inlineStr">
        <is>
          <t>% a.a.</t>
        </is>
      </c>
      <c r="E28" s="11" t="inlineStr">
        <is>
          <t>Cafe costuma rodar entre 30% e 50% a.a. Pegar a vol da tela da XP quando houver oferta.</t>
        </is>
      </c>
    </row>
    <row r="29" ht="26" customHeight="1">
      <c r="B29" s="6" t="inlineStr">
        <is>
          <t>Prazo ate o vencimento da opcao</t>
        </is>
      </c>
      <c r="C29" s="13" t="n">
        <v>0.25</v>
      </c>
      <c r="D29" s="11" t="inlineStr">
        <is>
          <t>anos</t>
        </is>
      </c>
      <c r="E29" s="11" t="inlineStr">
        <is>
          <t>0,25 = 3 meses. Manter coerente com o prazo de carrego do estoque.</t>
        </is>
      </c>
    </row>
    <row r="30" ht="26" customHeight="1">
      <c r="B30" s="6" t="inlineStr">
        <is>
          <t>Taxa de juros para desconto</t>
        </is>
      </c>
      <c r="C30" s="16" t="n">
        <v>0.043</v>
      </c>
      <c r="D30" s="11" t="inlineStr">
        <is>
          <t>% a.a.</t>
        </is>
      </c>
      <c r="E30" s="11" t="inlineStr">
        <is>
          <t>Juros em dolar (o contrato e cotado em US$). Ajustar conforme curva.</t>
        </is>
      </c>
    </row>
    <row r="32">
      <c r="B32" s="3" t="inlineStr">
        <is>
          <t>5. Verificacoes automaticas</t>
        </is>
      </c>
      <c r="C32" s="4" t="inlineStr"/>
      <c r="D32" s="4" t="inlineStr"/>
      <c r="E32" s="4" t="inlineStr"/>
    </row>
    <row r="33">
      <c r="B33" s="6" t="inlineStr">
        <is>
          <t>ICF do vencimento em reais</t>
        </is>
      </c>
      <c r="C33" s="17">
        <f>C13*C15</f>
        <v/>
      </c>
      <c r="E33" s="11" t="inlineStr">
        <is>
          <t>Preco da bolsa convertido ao cambio de hoje.</t>
        </is>
      </c>
    </row>
    <row r="34" ht="30" customHeight="1">
      <c r="B34" s="6" t="inlineStr">
        <is>
          <t>Mercado invertido? (curto acima do longo)</t>
        </is>
      </c>
      <c r="C34" s="18">
        <f>IF(C14&gt;C13,"SIM - INVERTIDO","NAO - normal")</f>
        <v/>
      </c>
      <c r="E34" s="11" t="inlineStr">
        <is>
          <t>Invertido: o mercado paga MENOS pelo cafe futuro. Carregar estoque destroi valor e travar preco longe fica caro. Ponto central do estudo.</t>
        </is>
      </c>
    </row>
    <row r="35">
      <c r="B35" s="6" t="inlineStr">
        <is>
          <t>Carrego embutido no mercado (curto -&gt; longo)</t>
        </is>
      </c>
      <c r="C35" s="17">
        <f>(C13-C14)*C15</f>
        <v/>
      </c>
      <c r="E35" s="11" t="inlineStr">
        <is>
          <t>Quanto o mercado paga (ou cobra) por carregar o estoque ate o vencimento longo, em R$/saca.</t>
        </is>
      </c>
    </row>
    <row r="36">
      <c r="B36" s="6" t="inlineStr">
        <is>
          <t>Custo proprio de carrego no mesmo prazo</t>
        </is>
      </c>
      <c r="C36" s="17">
        <f>C10*C9</f>
        <v/>
      </c>
      <c r="E36" s="11" t="inlineStr">
        <is>
          <t>Custo real do cliente para carregar. Se for maior que o carrego do mercado, o estoque esta pagando para existir.</t>
        </is>
      </c>
    </row>
    <row r="37" ht="28" customHeight="1">
      <c r="B37" s="6" t="inlineStr">
        <is>
          <t>Veredito do carrego</t>
        </is>
      </c>
      <c r="C37" s="18">
        <f>IF(C35&gt;=C36,"Mercado paga o carrego","Mercado NAO paga o carrego")</f>
        <v/>
      </c>
      <c r="E37" s="11" t="inlineStr">
        <is>
          <t>Se o mercado nao paga o carrego, girar estoque rapido vale mais que travar preco longo.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  <col width="12" customWidth="1" min="4" max="4"/>
    <col width="60" customWidth="1" min="5" max="5"/>
  </cols>
  <sheetData>
    <row r="2">
      <c r="B2" s="1" t="inlineStr">
        <is>
          <t>Dimensionamento do hedge</t>
        </is>
      </c>
    </row>
    <row r="3">
      <c r="B3" s="2" t="inlineStr">
        <is>
          <t>Quantos contratos vender e quanto caixa a operacao pede.</t>
        </is>
      </c>
    </row>
    <row r="5">
      <c r="B5" s="3" t="inlineStr">
        <is>
          <t>Sacas a proteger</t>
        </is>
      </c>
      <c r="C5" s="4" t="inlineStr"/>
      <c r="D5" s="4" t="inlineStr"/>
      <c r="E5" s="4" t="inlineStr"/>
    </row>
    <row r="6" ht="26" customHeight="1">
      <c r="B6" s="6" t="inlineStr">
        <is>
          <t>Estoque medio exposto</t>
        </is>
      </c>
      <c r="C6" s="19">
        <f>Parametros!C7</f>
        <v/>
      </c>
      <c r="D6" s="11" t="inlineStr">
        <is>
          <t>sacas</t>
        </is>
      </c>
      <c r="E6" s="11" t="inlineStr">
        <is>
          <t>Vem de Parametros.</t>
        </is>
      </c>
    </row>
    <row r="7" ht="26" customHeight="1">
      <c r="B7" s="6" t="inlineStr">
        <is>
          <t>Razao de hedge</t>
        </is>
      </c>
      <c r="C7" s="20">
        <f>Parametros!C21</f>
        <v/>
      </c>
      <c r="D7" s="11" t="inlineStr">
        <is>
          <t>%</t>
        </is>
      </c>
      <c r="E7" s="11" t="inlineStr">
        <is>
          <t>Vem de Parametros.</t>
        </is>
      </c>
    </row>
    <row r="8" ht="26" customHeight="1">
      <c r="B8" s="6" t="inlineStr">
        <is>
          <t>Sacas alvo de protecao</t>
        </is>
      </c>
      <c r="C8" s="19">
        <f>C6*C7</f>
        <v/>
      </c>
      <c r="D8" s="11" t="inlineStr">
        <is>
          <t>sacas</t>
        </is>
      </c>
      <c r="E8" s="11" t="inlineStr">
        <is>
          <t>Estoque exposto x razao de hedge.</t>
        </is>
      </c>
    </row>
    <row r="10">
      <c r="B10" s="3" t="inlineStr">
        <is>
          <t>Contratos ICF</t>
        </is>
      </c>
      <c r="C10" s="4" t="inlineStr"/>
      <c r="D10" s="4" t="inlineStr"/>
      <c r="E10" s="4" t="inlineStr"/>
    </row>
    <row r="11" ht="26" customHeight="1">
      <c r="B11" s="6" t="inlineStr">
        <is>
          <t>Contratos teoricos</t>
        </is>
      </c>
      <c r="C11" s="21">
        <f>C8/Parametros!C22</f>
        <v/>
      </c>
      <c r="D11" s="11" t="inlineStr">
        <is>
          <t>contratos</t>
        </is>
      </c>
      <c r="E11" s="11" t="inlineStr">
        <is>
          <t>Sacas alvo / 100 sacas por contrato.</t>
        </is>
      </c>
    </row>
    <row r="12" ht="26" customHeight="1">
      <c r="B12" s="5" t="inlineStr">
        <is>
          <t>Contratos a VENDER (arredondado)</t>
        </is>
      </c>
      <c r="C12" s="22">
        <f>ROUND(C11,0)</f>
        <v/>
      </c>
      <c r="D12" s="11" t="inlineStr">
        <is>
          <t>contratos</t>
        </is>
      </c>
      <c r="E12" s="11" t="inlineStr">
        <is>
          <t>O contrato e indivisivel - arredonda para o inteiro mais proximo.</t>
        </is>
      </c>
    </row>
    <row r="13" ht="26" customHeight="1">
      <c r="B13" s="6" t="inlineStr">
        <is>
          <t>Sacas efetivamente protegidas</t>
        </is>
      </c>
      <c r="C13" s="23">
        <f>C12*Parametros!C22</f>
        <v/>
      </c>
      <c r="D13" s="11" t="inlineStr">
        <is>
          <t>sacas</t>
        </is>
      </c>
      <c r="E13" s="11" t="inlineStr"/>
    </row>
    <row r="14" ht="26" customHeight="1">
      <c r="B14" s="6" t="inlineStr">
        <is>
          <t>Sacas descobertas pelo arredondamento</t>
        </is>
      </c>
      <c r="C14" s="23">
        <f>C6-C13</f>
        <v/>
      </c>
      <c r="D14" s="11" t="inlineStr">
        <is>
          <t>sacas</t>
        </is>
      </c>
      <c r="E14" s="11" t="inlineStr">
        <is>
          <t>Positivo = falta protecao. Negativo = hedge maior que o estoque (virou aposta, nao protecao).</t>
        </is>
      </c>
    </row>
    <row r="15" ht="26" customHeight="1">
      <c r="B15" s="6" t="inlineStr">
        <is>
          <t>Cobertura efetiva do estoque</t>
        </is>
      </c>
      <c r="C15" s="24">
        <f>IF(C6=0,0,C13/C6)</f>
        <v/>
      </c>
      <c r="D15" s="11" t="inlineStr">
        <is>
          <t>%</t>
        </is>
      </c>
      <c r="E15" s="11" t="inlineStr">
        <is>
          <t>Cobertura real depois do arredondamento.</t>
        </is>
      </c>
    </row>
    <row r="17">
      <c r="B17" s="3" t="inlineStr">
        <is>
          <t>Exposicao e sensibilidade</t>
        </is>
      </c>
      <c r="C17" s="4" t="inlineStr"/>
      <c r="D17" s="4" t="inlineStr"/>
      <c r="E17" s="4" t="inlineStr"/>
    </row>
    <row r="18" ht="26" customHeight="1">
      <c r="B18" s="6" t="inlineStr">
        <is>
          <t>Nocional do hedge</t>
        </is>
      </c>
      <c r="C18" s="25">
        <f>C12*Parametros!C22*Parametros!C13*Parametros!C15</f>
        <v/>
      </c>
      <c r="D18" s="11" t="inlineStr">
        <is>
          <t>R$</t>
        </is>
      </c>
      <c r="E18" s="11" t="inlineStr">
        <is>
          <t>Contratos x 100 sacas x ICF x cambio.</t>
        </is>
      </c>
    </row>
    <row r="19" ht="26" customHeight="1">
      <c r="B19" s="6" t="inlineStr">
        <is>
          <t>Ganho/perda do hedge por US$1/saca de queda no ICF</t>
        </is>
      </c>
      <c r="C19" s="25">
        <f>C12*Parametros!C22*1*Parametros!C15</f>
        <v/>
      </c>
      <c r="D19" s="11" t="inlineStr">
        <is>
          <t>R$</t>
        </is>
      </c>
      <c r="E19" s="11" t="inlineStr">
        <is>
          <t>Estando vendido, queda de preco gera ganho no hedge.</t>
        </is>
      </c>
    </row>
    <row r="20" ht="26" customHeight="1">
      <c r="B20" s="6" t="inlineStr">
        <is>
          <t>Perda no fisico por US$1/saca de queda no ICF</t>
        </is>
      </c>
      <c r="C20" s="25">
        <f>-C6*1*Parametros!C15</f>
        <v/>
      </c>
      <c r="D20" s="11" t="inlineStr">
        <is>
          <t>R$</t>
        </is>
      </c>
      <c r="E20" s="11" t="inlineStr">
        <is>
          <t>O estoque perde valor na mesma direcao.</t>
        </is>
      </c>
    </row>
    <row r="21" ht="26" customHeight="1">
      <c r="B21" s="5" t="inlineStr">
        <is>
          <t>Exposicao liquida residual por US$1/saca</t>
        </is>
      </c>
      <c r="C21" s="26">
        <f>C19+C20</f>
        <v/>
      </c>
      <c r="D21" s="11" t="inlineStr">
        <is>
          <t>R$</t>
        </is>
      </c>
      <c r="E21" s="11" t="inlineStr">
        <is>
          <t>Quanto sobra de risco depois do hedge. Quanto mais perto de zero, mais neutro.</t>
        </is>
      </c>
    </row>
    <row r="23">
      <c r="B23" s="3" t="inlineStr">
        <is>
          <t>Caixa e margem</t>
        </is>
      </c>
      <c r="C23" s="4" t="inlineStr"/>
      <c r="D23" s="4" t="inlineStr"/>
      <c r="E23" s="4" t="inlineStr"/>
    </row>
    <row r="24" ht="26" customHeight="1">
      <c r="B24" s="6" t="inlineStr">
        <is>
          <t>Margem inicial estimada</t>
        </is>
      </c>
      <c r="C24" s="25">
        <f>C18*Parametros!C23</f>
        <v/>
      </c>
      <c r="D24" s="11" t="inlineStr">
        <is>
          <t>R$</t>
        </is>
      </c>
      <c r="E24" s="11" t="inlineStr">
        <is>
          <t>Nocional x percentual de margem. CONFIRMAR COM A XP.</t>
        </is>
      </c>
    </row>
    <row r="25" ht="26" customHeight="1">
      <c r="B25" s="5" t="inlineStr">
        <is>
          <t>Caixa recomendado (margem + colchao)</t>
        </is>
      </c>
      <c r="C25" s="26">
        <f>C24*Parametros!C24</f>
        <v/>
      </c>
      <c r="D25" s="11" t="inlineStr">
        <is>
          <t>R$</t>
        </is>
      </c>
      <c r="E25" s="11" t="inlineStr">
        <is>
          <t>Reserva para aguentar chamada de margem sem ter de desmontar o hedge no pior momento.</t>
        </is>
      </c>
    </row>
    <row r="26" ht="26" customHeight="1">
      <c r="B26" s="6" t="inlineStr">
        <is>
          <t>Custo operacional do hedge (ida e volta)</t>
        </is>
      </c>
      <c r="C26" s="25">
        <f>C12*Parametros!C25</f>
        <v/>
      </c>
      <c r="D26" s="11" t="inlineStr">
        <is>
          <t>R$</t>
        </is>
      </c>
      <c r="E26" s="11" t="inlineStr">
        <is>
          <t>Corretagem e emolumentos. CONFIRMAR COM A XP.</t>
        </is>
      </c>
    </row>
    <row r="27" ht="26" customHeight="1">
      <c r="B27" s="6" t="inlineStr">
        <is>
          <t>Custo operacional por saca protegida</t>
        </is>
      </c>
      <c r="C27" s="27">
        <f>IF(C13=0,0,C26/C13)</f>
        <v/>
      </c>
      <c r="D27" s="11" t="inlineStr">
        <is>
          <t>R$/saca</t>
        </is>
      </c>
      <c r="E27" s="11" t="inlineStr">
        <is>
          <t>Diluicao do custo. Compare com a margem comercial do cliente.</t>
        </is>
      </c>
    </row>
    <row r="29">
      <c r="B29" s="3" t="inlineStr">
        <is>
          <t>Alerta de chamada de margem</t>
        </is>
      </c>
      <c r="C29" s="4" t="inlineStr"/>
      <c r="D29" s="4" t="inlineStr"/>
      <c r="E29" s="4" t="inlineStr"/>
    </row>
    <row r="30" ht="40" customHeight="1">
      <c r="B30" s="5" t="inlineStr">
        <is>
          <t>Alta de preco que consome o colchao de caixa</t>
        </is>
      </c>
      <c r="C30" s="28">
        <f>IF(C12=0,0,(C25-C24)/(C12*Parametros!C22*Parametros!C15))</f>
        <v/>
      </c>
      <c r="D30" s="11" t="inlineStr">
        <is>
          <t>US$/saca</t>
        </is>
      </c>
      <c r="E30" s="11" t="inlineStr">
        <is>
          <t>Estando VENDIDO, a alta de preco e que gera chamada de margem. Este e o quanto o ICF pode subir antes de o colchao acabar.</t>
        </is>
      </c>
    </row>
    <row r="31" ht="30" customHeight="1">
      <c r="B31" s="6" t="inlineStr">
        <is>
          <t>Alta equivalente em %</t>
        </is>
      </c>
      <c r="C31" s="24">
        <f>IF(Parametros!C13=0,0,C30/Parametros!C13)</f>
        <v/>
      </c>
      <c r="D31" s="11" t="inlineStr">
        <is>
          <t>%</t>
        </is>
      </c>
      <c r="E31" s="11" t="inlineStr">
        <is>
          <t>Se o cafe subir mais que isso, prepare o cliente: o estoque vale mais, mas o caixa aperta antes.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Cenarios de preco - fisico x hedge</t>
        </is>
      </c>
    </row>
    <row r="3" ht="28" customHeight="1">
      <c r="B3" s="2" t="inlineStr">
        <is>
          <t>Como o resultado do cliente muda se o cafe cair ou subir ate o vencimento. O objetivo do hedge nao e ganhar - e achatar a coluna de resultado combinado.</t>
        </is>
      </c>
    </row>
    <row r="5">
      <c r="B5" s="3" t="inlineStr">
        <is>
          <t>Referencias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B6" s="6" t="inlineStr">
        <is>
          <t>ICF hoje (US$/saca)</t>
        </is>
      </c>
      <c r="C6" s="29">
        <f>Parametros!C13</f>
        <v/>
      </c>
      <c r="E6" s="6" t="inlineStr">
        <is>
          <t>Sacas em estoque</t>
        </is>
      </c>
      <c r="F6" s="19">
        <f>Dimensionamento!C6</f>
        <v/>
      </c>
      <c r="H6" s="6" t="inlineStr">
        <is>
          <t>Contratos vendidos</t>
        </is>
      </c>
      <c r="I6" s="19">
        <f>Dimensionamento!C12</f>
        <v/>
      </c>
    </row>
    <row r="7">
      <c r="B7" s="6" t="inlineStr">
        <is>
          <t>Cambio no vencimento</t>
        </is>
      </c>
      <c r="C7" s="30">
        <f>Parametros!C16</f>
        <v/>
      </c>
      <c r="E7" s="6" t="inlineStr">
        <is>
          <t>Custo total de carrego</t>
        </is>
      </c>
      <c r="F7" s="31">
        <f>Parametros!C10*Parametros!C9</f>
        <v/>
      </c>
      <c r="H7" s="6" t="inlineStr">
        <is>
          <t>Custo operacional total</t>
        </is>
      </c>
      <c r="I7" s="32">
        <f>Dimensionamento!C26</f>
        <v/>
      </c>
    </row>
    <row r="10" ht="48" customHeight="1">
      <c r="B10" s="33" t="inlineStr">
        <is>
          <t>Variacao
do ICF</t>
        </is>
      </c>
      <c r="C10" s="33" t="inlineStr">
        <is>
          <t>ICF no
vencimento
(US$/saca)</t>
        </is>
      </c>
      <c r="D10" s="33" t="inlineStr">
        <is>
          <t>Preco de
revenda
(R$/saca)</t>
        </is>
      </c>
      <c r="E10" s="33" t="inlineStr">
        <is>
          <t>Resultado do
fisico
(R$)</t>
        </is>
      </c>
      <c r="F10" s="33" t="inlineStr">
        <is>
          <t>Resultado do
hedge vendido
(R$)</t>
        </is>
      </c>
      <c r="G10" s="33" t="inlineStr">
        <is>
          <t>Resultado
COMBINADO
(R$)</t>
        </is>
      </c>
      <c r="H10" s="33" t="inlineStr">
        <is>
          <t>Margem
SEM hedge
(R$/saca)</t>
        </is>
      </c>
      <c r="I10" s="33" t="inlineStr">
        <is>
          <t>Margem
COM hedge
(R$/saca)</t>
        </is>
      </c>
      <c r="J10" s="33" t="inlineStr">
        <is>
          <t>Preco de venda
efetivo
(R$/saca)</t>
        </is>
      </c>
    </row>
    <row r="11">
      <c r="B11" s="34" t="n">
        <v>-0.35</v>
      </c>
      <c r="C11" s="35">
        <f>$C$6*(1+B11)</f>
        <v/>
      </c>
      <c r="D11" s="27">
        <f>C11*$C$7+Parametros!$C$18</f>
        <v/>
      </c>
      <c r="E11" s="25">
        <f>(D11-Parametros!$C$8-$F$7)*$F$6</f>
        <v/>
      </c>
      <c r="F11" s="25">
        <f>($C$6-C11)*$C$7*Parametros!$C$22*$I$6-$I$7</f>
        <v/>
      </c>
      <c r="G11" s="36">
        <f>E11+F11</f>
        <v/>
      </c>
      <c r="H11" s="27">
        <f>IF($F$6=0,0,E11/$F$6)</f>
        <v/>
      </c>
      <c r="I11" s="27">
        <f>IF($F$6=0,0,G11/$F$6)</f>
        <v/>
      </c>
      <c r="J11" s="27">
        <f>IF($F$6=0,0,G11/$F$6+Parametros!$C$8+$F$7)</f>
        <v/>
      </c>
    </row>
    <row r="12">
      <c r="B12" s="34" t="n">
        <v>-0.3</v>
      </c>
      <c r="C12" s="35">
        <f>$C$6*(1+B12)</f>
        <v/>
      </c>
      <c r="D12" s="27">
        <f>C12*$C$7+Parametros!$C$18</f>
        <v/>
      </c>
      <c r="E12" s="25">
        <f>(D12-Parametros!$C$8-$F$7)*$F$6</f>
        <v/>
      </c>
      <c r="F12" s="25">
        <f>($C$6-C12)*$C$7*Parametros!$C$22*$I$6-$I$7</f>
        <v/>
      </c>
      <c r="G12" s="36">
        <f>E12+F12</f>
        <v/>
      </c>
      <c r="H12" s="27">
        <f>IF($F$6=0,0,E12/$F$6)</f>
        <v/>
      </c>
      <c r="I12" s="27">
        <f>IF($F$6=0,0,G12/$F$6)</f>
        <v/>
      </c>
      <c r="J12" s="27">
        <f>IF($F$6=0,0,G12/$F$6+Parametros!$C$8+$F$7)</f>
        <v/>
      </c>
    </row>
    <row r="13">
      <c r="B13" s="34" t="n">
        <v>-0.25</v>
      </c>
      <c r="C13" s="35">
        <f>$C$6*(1+B13)</f>
        <v/>
      </c>
      <c r="D13" s="27">
        <f>C13*$C$7+Parametros!$C$18</f>
        <v/>
      </c>
      <c r="E13" s="25">
        <f>(D13-Parametros!$C$8-$F$7)*$F$6</f>
        <v/>
      </c>
      <c r="F13" s="25">
        <f>($C$6-C13)*$C$7*Parametros!$C$22*$I$6-$I$7</f>
        <v/>
      </c>
      <c r="G13" s="36">
        <f>E13+F13</f>
        <v/>
      </c>
      <c r="H13" s="27">
        <f>IF($F$6=0,0,E13/$F$6)</f>
        <v/>
      </c>
      <c r="I13" s="27">
        <f>IF($F$6=0,0,G13/$F$6)</f>
        <v/>
      </c>
      <c r="J13" s="27">
        <f>IF($F$6=0,0,G13/$F$6+Parametros!$C$8+$F$7)</f>
        <v/>
      </c>
    </row>
    <row r="14">
      <c r="B14" s="34" t="n">
        <v>-0.2</v>
      </c>
      <c r="C14" s="35">
        <f>$C$6*(1+B14)</f>
        <v/>
      </c>
      <c r="D14" s="27">
        <f>C14*$C$7+Parametros!$C$18</f>
        <v/>
      </c>
      <c r="E14" s="25">
        <f>(D14-Parametros!$C$8-$F$7)*$F$6</f>
        <v/>
      </c>
      <c r="F14" s="25">
        <f>($C$6-C14)*$C$7*Parametros!$C$22*$I$6-$I$7</f>
        <v/>
      </c>
      <c r="G14" s="36">
        <f>E14+F14</f>
        <v/>
      </c>
      <c r="H14" s="27">
        <f>IF($F$6=0,0,E14/$F$6)</f>
        <v/>
      </c>
      <c r="I14" s="27">
        <f>IF($F$6=0,0,G14/$F$6)</f>
        <v/>
      </c>
      <c r="J14" s="27">
        <f>IF($F$6=0,0,G14/$F$6+Parametros!$C$8+$F$7)</f>
        <v/>
      </c>
    </row>
    <row r="15">
      <c r="B15" s="34" t="n">
        <v>-0.15</v>
      </c>
      <c r="C15" s="35">
        <f>$C$6*(1+B15)</f>
        <v/>
      </c>
      <c r="D15" s="27">
        <f>C15*$C$7+Parametros!$C$18</f>
        <v/>
      </c>
      <c r="E15" s="25">
        <f>(D15-Parametros!$C$8-$F$7)*$F$6</f>
        <v/>
      </c>
      <c r="F15" s="25">
        <f>($C$6-C15)*$C$7*Parametros!$C$22*$I$6-$I$7</f>
        <v/>
      </c>
      <c r="G15" s="36">
        <f>E15+F15</f>
        <v/>
      </c>
      <c r="H15" s="27">
        <f>IF($F$6=0,0,E15/$F$6)</f>
        <v/>
      </c>
      <c r="I15" s="27">
        <f>IF($F$6=0,0,G15/$F$6)</f>
        <v/>
      </c>
      <c r="J15" s="27">
        <f>IF($F$6=0,0,G15/$F$6+Parametros!$C$8+$F$7)</f>
        <v/>
      </c>
    </row>
    <row r="16">
      <c r="B16" s="34" t="n">
        <v>-0.1</v>
      </c>
      <c r="C16" s="35">
        <f>$C$6*(1+B16)</f>
        <v/>
      </c>
      <c r="D16" s="27">
        <f>C16*$C$7+Parametros!$C$18</f>
        <v/>
      </c>
      <c r="E16" s="25">
        <f>(D16-Parametros!$C$8-$F$7)*$F$6</f>
        <v/>
      </c>
      <c r="F16" s="25">
        <f>($C$6-C16)*$C$7*Parametros!$C$22*$I$6-$I$7</f>
        <v/>
      </c>
      <c r="G16" s="36">
        <f>E16+F16</f>
        <v/>
      </c>
      <c r="H16" s="27">
        <f>IF($F$6=0,0,E16/$F$6)</f>
        <v/>
      </c>
      <c r="I16" s="27">
        <f>IF($F$6=0,0,G16/$F$6)</f>
        <v/>
      </c>
      <c r="J16" s="27">
        <f>IF($F$6=0,0,G16/$F$6+Parametros!$C$8+$F$7)</f>
        <v/>
      </c>
    </row>
    <row r="17">
      <c r="B17" s="34" t="n">
        <v>-0.05</v>
      </c>
      <c r="C17" s="35">
        <f>$C$6*(1+B17)</f>
        <v/>
      </c>
      <c r="D17" s="27">
        <f>C17*$C$7+Parametros!$C$18</f>
        <v/>
      </c>
      <c r="E17" s="25">
        <f>(D17-Parametros!$C$8-$F$7)*$F$6</f>
        <v/>
      </c>
      <c r="F17" s="25">
        <f>($C$6-C17)*$C$7*Parametros!$C$22*$I$6-$I$7</f>
        <v/>
      </c>
      <c r="G17" s="36">
        <f>E17+F17</f>
        <v/>
      </c>
      <c r="H17" s="27">
        <f>IF($F$6=0,0,E17/$F$6)</f>
        <v/>
      </c>
      <c r="I17" s="27">
        <f>IF($F$6=0,0,G17/$F$6)</f>
        <v/>
      </c>
      <c r="J17" s="27">
        <f>IF($F$6=0,0,G17/$F$6+Parametros!$C$8+$F$7)</f>
        <v/>
      </c>
    </row>
    <row r="18">
      <c r="B18" s="34" t="n">
        <v>0</v>
      </c>
      <c r="C18" s="35">
        <f>$C$6*(1+B18)</f>
        <v/>
      </c>
      <c r="D18" s="27">
        <f>C18*$C$7+Parametros!$C$18</f>
        <v/>
      </c>
      <c r="E18" s="25">
        <f>(D18-Parametros!$C$8-$F$7)*$F$6</f>
        <v/>
      </c>
      <c r="F18" s="25">
        <f>($C$6-C18)*$C$7*Parametros!$C$22*$I$6-$I$7</f>
        <v/>
      </c>
      <c r="G18" s="36">
        <f>E18+F18</f>
        <v/>
      </c>
      <c r="H18" s="27">
        <f>IF($F$6=0,0,E18/$F$6)</f>
        <v/>
      </c>
      <c r="I18" s="27">
        <f>IF($F$6=0,0,G18/$F$6)</f>
        <v/>
      </c>
      <c r="J18" s="27">
        <f>IF($F$6=0,0,G18/$F$6+Parametros!$C$8+$F$7)</f>
        <v/>
      </c>
    </row>
    <row r="19">
      <c r="B19" s="34" t="n">
        <v>0.05</v>
      </c>
      <c r="C19" s="35">
        <f>$C$6*(1+B19)</f>
        <v/>
      </c>
      <c r="D19" s="27">
        <f>C19*$C$7+Parametros!$C$18</f>
        <v/>
      </c>
      <c r="E19" s="25">
        <f>(D19-Parametros!$C$8-$F$7)*$F$6</f>
        <v/>
      </c>
      <c r="F19" s="25">
        <f>($C$6-C19)*$C$7*Parametros!$C$22*$I$6-$I$7</f>
        <v/>
      </c>
      <c r="G19" s="36">
        <f>E19+F19</f>
        <v/>
      </c>
      <c r="H19" s="27">
        <f>IF($F$6=0,0,E19/$F$6)</f>
        <v/>
      </c>
      <c r="I19" s="27">
        <f>IF($F$6=0,0,G19/$F$6)</f>
        <v/>
      </c>
      <c r="J19" s="27">
        <f>IF($F$6=0,0,G19/$F$6+Parametros!$C$8+$F$7)</f>
        <v/>
      </c>
    </row>
    <row r="20">
      <c r="B20" s="34" t="n">
        <v>0.1</v>
      </c>
      <c r="C20" s="35">
        <f>$C$6*(1+B20)</f>
        <v/>
      </c>
      <c r="D20" s="27">
        <f>C20*$C$7+Parametros!$C$18</f>
        <v/>
      </c>
      <c r="E20" s="25">
        <f>(D20-Parametros!$C$8-$F$7)*$F$6</f>
        <v/>
      </c>
      <c r="F20" s="25">
        <f>($C$6-C20)*$C$7*Parametros!$C$22*$I$6-$I$7</f>
        <v/>
      </c>
      <c r="G20" s="36">
        <f>E20+F20</f>
        <v/>
      </c>
      <c r="H20" s="27">
        <f>IF($F$6=0,0,E20/$F$6)</f>
        <v/>
      </c>
      <c r="I20" s="27">
        <f>IF($F$6=0,0,G20/$F$6)</f>
        <v/>
      </c>
      <c r="J20" s="27">
        <f>IF($F$6=0,0,G20/$F$6+Parametros!$C$8+$F$7)</f>
        <v/>
      </c>
    </row>
    <row r="21">
      <c r="B21" s="34" t="n">
        <v>0.15</v>
      </c>
      <c r="C21" s="35">
        <f>$C$6*(1+B21)</f>
        <v/>
      </c>
      <c r="D21" s="27">
        <f>C21*$C$7+Parametros!$C$18</f>
        <v/>
      </c>
      <c r="E21" s="25">
        <f>(D21-Parametros!$C$8-$F$7)*$F$6</f>
        <v/>
      </c>
      <c r="F21" s="25">
        <f>($C$6-C21)*$C$7*Parametros!$C$22*$I$6-$I$7</f>
        <v/>
      </c>
      <c r="G21" s="36">
        <f>E21+F21</f>
        <v/>
      </c>
      <c r="H21" s="27">
        <f>IF($F$6=0,0,E21/$F$6)</f>
        <v/>
      </c>
      <c r="I21" s="27">
        <f>IF($F$6=0,0,G21/$F$6)</f>
        <v/>
      </c>
      <c r="J21" s="27">
        <f>IF($F$6=0,0,G21/$F$6+Parametros!$C$8+$F$7)</f>
        <v/>
      </c>
    </row>
    <row r="22">
      <c r="B22" s="34" t="n">
        <v>0.2</v>
      </c>
      <c r="C22" s="35">
        <f>$C$6*(1+B22)</f>
        <v/>
      </c>
      <c r="D22" s="27">
        <f>C22*$C$7+Parametros!$C$18</f>
        <v/>
      </c>
      <c r="E22" s="25">
        <f>(D22-Parametros!$C$8-$F$7)*$F$6</f>
        <v/>
      </c>
      <c r="F22" s="25">
        <f>($C$6-C22)*$C$7*Parametros!$C$22*$I$6-$I$7</f>
        <v/>
      </c>
      <c r="G22" s="36">
        <f>E22+F22</f>
        <v/>
      </c>
      <c r="H22" s="27">
        <f>IF($F$6=0,0,E22/$F$6)</f>
        <v/>
      </c>
      <c r="I22" s="27">
        <f>IF($F$6=0,0,G22/$F$6)</f>
        <v/>
      </c>
      <c r="J22" s="27">
        <f>IF($F$6=0,0,G22/$F$6+Parametros!$C$8+$F$7)</f>
        <v/>
      </c>
    </row>
    <row r="23">
      <c r="B23" s="34" t="n">
        <v>0.25</v>
      </c>
      <c r="C23" s="35">
        <f>$C$6*(1+B23)</f>
        <v/>
      </c>
      <c r="D23" s="27">
        <f>C23*$C$7+Parametros!$C$18</f>
        <v/>
      </c>
      <c r="E23" s="25">
        <f>(D23-Parametros!$C$8-$F$7)*$F$6</f>
        <v/>
      </c>
      <c r="F23" s="25">
        <f>($C$6-C23)*$C$7*Parametros!$C$22*$I$6-$I$7</f>
        <v/>
      </c>
      <c r="G23" s="36">
        <f>E23+F23</f>
        <v/>
      </c>
      <c r="H23" s="27">
        <f>IF($F$6=0,0,E23/$F$6)</f>
        <v/>
      </c>
      <c r="I23" s="27">
        <f>IF($F$6=0,0,G23/$F$6)</f>
        <v/>
      </c>
      <c r="J23" s="27">
        <f>IF($F$6=0,0,G23/$F$6+Parametros!$C$8+$F$7)</f>
        <v/>
      </c>
    </row>
    <row r="24">
      <c r="B24" s="34" t="n">
        <v>0.3</v>
      </c>
      <c r="C24" s="35">
        <f>$C$6*(1+B24)</f>
        <v/>
      </c>
      <c r="D24" s="27">
        <f>C24*$C$7+Parametros!$C$18</f>
        <v/>
      </c>
      <c r="E24" s="25">
        <f>(D24-Parametros!$C$8-$F$7)*$F$6</f>
        <v/>
      </c>
      <c r="F24" s="25">
        <f>($C$6-C24)*$C$7*Parametros!$C$22*$I$6-$I$7</f>
        <v/>
      </c>
      <c r="G24" s="36">
        <f>E24+F24</f>
        <v/>
      </c>
      <c r="H24" s="27">
        <f>IF($F$6=0,0,E24/$F$6)</f>
        <v/>
      </c>
      <c r="I24" s="27">
        <f>IF($F$6=0,0,G24/$F$6)</f>
        <v/>
      </c>
      <c r="J24" s="27">
        <f>IF($F$6=0,0,G24/$F$6+Parametros!$C$8+$F$7)</f>
        <v/>
      </c>
    </row>
    <row r="25">
      <c r="B25" s="34" t="n">
        <v>0.35</v>
      </c>
      <c r="C25" s="35">
        <f>$C$6*(1+B25)</f>
        <v/>
      </c>
      <c r="D25" s="27">
        <f>C25*$C$7+Parametros!$C$18</f>
        <v/>
      </c>
      <c r="E25" s="25">
        <f>(D25-Parametros!$C$8-$F$7)*$F$6</f>
        <v/>
      </c>
      <c r="F25" s="25">
        <f>($C$6-C25)*$C$7*Parametros!$C$22*$I$6-$I$7</f>
        <v/>
      </c>
      <c r="G25" s="36">
        <f>E25+F25</f>
        <v/>
      </c>
      <c r="H25" s="27">
        <f>IF($F$6=0,0,E25/$F$6)</f>
        <v/>
      </c>
      <c r="I25" s="27">
        <f>IF($F$6=0,0,G25/$F$6)</f>
        <v/>
      </c>
      <c r="J25" s="27">
        <f>IF($F$6=0,0,G25/$F$6+Parametros!$C$8+$F$7)</f>
        <v/>
      </c>
    </row>
    <row r="27">
      <c r="B27" s="3" t="inlineStr">
        <is>
          <t>Resumo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 ht="22" customHeight="1">
      <c r="B28" s="6" t="inlineStr">
        <is>
          <t>Pior resultado SEM hedge</t>
        </is>
      </c>
      <c r="D28" s="37">
        <f>MIN(E11:E25)</f>
        <v/>
      </c>
      <c r="E28" s="11" t="inlineStr">
        <is>
          <t>O tamanho do prejuizo que o cliente aceita hoje sem fazer nada.</t>
        </is>
      </c>
    </row>
    <row r="29" ht="22" customHeight="1">
      <c r="B29" s="6" t="inlineStr">
        <is>
          <t>Pior resultado COM hedge</t>
        </is>
      </c>
      <c r="D29" s="37">
        <f>MIN(G11:G25)</f>
        <v/>
      </c>
      <c r="E29" s="11" t="inlineStr">
        <is>
          <t>O piso que o hedge constroi.</t>
        </is>
      </c>
    </row>
    <row r="30" ht="22" customHeight="1">
      <c r="B30" s="6" t="inlineStr">
        <is>
          <t>Melhor resultado SEM hedge</t>
        </is>
      </c>
      <c r="D30" s="37">
        <f>MAX(E11:E25)</f>
        <v/>
      </c>
      <c r="E30" s="11" t="inlineStr">
        <is>
          <t>O upside que existe hoje.</t>
        </is>
      </c>
    </row>
    <row r="31" ht="22" customHeight="1">
      <c r="B31" s="6" t="inlineStr">
        <is>
          <t>Melhor resultado COM hedge</t>
        </is>
      </c>
      <c r="D31" s="37">
        <f>MAX(G11:G25)</f>
        <v/>
      </c>
      <c r="E31" s="11" t="inlineStr">
        <is>
          <t>O upside que o cliente abre mao ao vender futuro. Este e o preco real do hedge.</t>
        </is>
      </c>
    </row>
    <row r="32" ht="22" customHeight="1">
      <c r="B32" s="6" t="inlineStr">
        <is>
          <t>Amplitude SEM hedge</t>
        </is>
      </c>
      <c r="D32" s="37">
        <f>MAX(E11:E25)-MIN(E11:E25)</f>
        <v/>
      </c>
      <c r="E32" s="11" t="inlineStr">
        <is>
          <t>Volatilidade do resultado sem protecao.</t>
        </is>
      </c>
    </row>
    <row r="33" ht="22" customHeight="1">
      <c r="B33" s="6" t="inlineStr">
        <is>
          <t>Amplitude COM hedge</t>
        </is>
      </c>
      <c r="D33" s="37">
        <f>MAX(G11:G25)-MIN(G11:G25)</f>
        <v/>
      </c>
      <c r="E33" s="11" t="inlineStr">
        <is>
          <t>Volatilidade do resultado com protecao. Quanto menor, mais eficaz o hedge.</t>
        </is>
      </c>
    </row>
    <row r="34" ht="22" customHeight="1">
      <c r="B34" s="6" t="inlineStr">
        <is>
          <t>Reducao de risco do hedge</t>
        </is>
      </c>
      <c r="D34" s="38">
        <f>IF((MAX(E11:E25)-MIN(E11:E25))=0,0,1-(MAX(G11:G25)-MIN(G11:G25))/(MAX(E11:E25)-MIN(E11:E25)))</f>
        <v/>
      </c>
      <c r="E34" s="11" t="inlineStr">
        <is>
          <t>Quanto da oscilacao de resultado foi eliminada. Tende a razao de hedge.</t>
        </is>
      </c>
    </row>
  </sheetData>
  <mergeCells count="14">
    <mergeCell ref="B30:C30"/>
    <mergeCell ref="E33:J33"/>
    <mergeCell ref="E32:J32"/>
    <mergeCell ref="B29:C29"/>
    <mergeCell ref="E28:J28"/>
    <mergeCell ref="B33:C33"/>
    <mergeCell ref="B34:C34"/>
    <mergeCell ref="B28:C28"/>
    <mergeCell ref="E31:J31"/>
    <mergeCell ref="B32:C32"/>
    <mergeCell ref="B31:C31"/>
    <mergeCell ref="E34:J34"/>
    <mergeCell ref="E30:J30"/>
    <mergeCell ref="E29:J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</cols>
  <sheetData>
    <row r="2">
      <c r="B2" s="1" t="inlineStr">
        <is>
          <t>Opcoes sobre futuro de ICF - precos teoricos (Black-76)</t>
        </is>
      </c>
    </row>
    <row r="3">
      <c r="B3" s="2" t="inlineStr">
        <is>
          <t>Premio TEORICO. Serve para saber se a tela da XP esta pedindo caro ou barato - nao substitui a cotacao real.</t>
        </is>
      </c>
    </row>
    <row r="5">
      <c r="B5" s="3" t="inlineStr">
        <is>
          <t>Entradas do modelo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B6" s="6" t="inlineStr">
        <is>
          <t>F - futuro (US$/saca)</t>
        </is>
      </c>
      <c r="D6" s="29">
        <f>Parametros!C13</f>
        <v/>
      </c>
      <c r="F6" s="5" t="inlineStr">
        <is>
          <t>Como ler esta tabela:</t>
        </is>
      </c>
    </row>
    <row r="7">
      <c r="B7" s="6" t="inlineStr">
        <is>
          <t>Vol implicita (a.a.)</t>
        </is>
      </c>
      <c r="D7" s="20">
        <f>Parametros!C28</f>
        <v/>
      </c>
      <c r="F7" s="11" t="inlineStr">
        <is>
          <t>PUT = seguro contra QUEDA. E o que interessa ao cliente comprador/estocador.</t>
        </is>
      </c>
    </row>
    <row r="8">
      <c r="B8" s="6" t="inlineStr">
        <is>
          <t>Prazo (anos)</t>
        </is>
      </c>
      <c r="D8" s="30">
        <f>Parametros!C29</f>
        <v/>
      </c>
      <c r="F8" s="11" t="inlineStr">
        <is>
          <t>CALL = direito de comprar. Serve para quem esta vendido a fixar, ou para VENDER call e financiar a put (collar).</t>
        </is>
      </c>
    </row>
    <row r="9">
      <c r="B9" s="6" t="inlineStr">
        <is>
          <t>Juros (a.a.)</t>
        </is>
      </c>
      <c r="D9" s="39">
        <f>Parametros!C30</f>
        <v/>
      </c>
      <c r="F9" s="11" t="inlineStr">
        <is>
          <t>Delta da put diz quantas sacas de protecao cada contrato de opcao realmente entrega hoje.</t>
        </is>
      </c>
    </row>
    <row r="10">
      <c r="B10" s="6" t="inlineStr">
        <is>
          <t>Cambio no vencimento</t>
        </is>
      </c>
      <c r="D10" s="30">
        <f>Parametros!C16</f>
        <v/>
      </c>
      <c r="F10" s="11" t="inlineStr">
        <is>
          <t>Piso liquido = strike menos o premio pago, convertido em reais e somado ao basis de venda.</t>
        </is>
      </c>
    </row>
    <row r="11">
      <c r="B11" s="6" t="inlineStr">
        <is>
          <t>sigma * raiz(T)</t>
        </is>
      </c>
      <c r="D11" s="21">
        <f>D7*SQRT(D8)</f>
        <v/>
      </c>
    </row>
    <row r="14" ht="48" customHeight="1">
      <c r="B14" s="33" t="inlineStr">
        <is>
          <t>Strike
(US$/saca)</t>
        </is>
      </c>
      <c r="C14" s="33" t="inlineStr">
        <is>
          <t>Strike
% do futuro</t>
        </is>
      </c>
      <c r="D14" s="33" t="inlineStr">
        <is>
          <t>d1</t>
        </is>
      </c>
      <c r="E14" s="33" t="inlineStr">
        <is>
          <t>d2</t>
        </is>
      </c>
      <c r="F14" s="33" t="inlineStr">
        <is>
          <t>Premio PUT
(US$/saca)</t>
        </is>
      </c>
      <c r="G14" s="33" t="inlineStr">
        <is>
          <t>Premio CALL
(US$/saca)</t>
        </is>
      </c>
      <c r="H14" s="33" t="inlineStr">
        <is>
          <t>Delta da
PUT</t>
        </is>
      </c>
      <c r="I14" s="33" t="inlineStr">
        <is>
          <t>Premio PUT
(R$/saca)</t>
        </is>
      </c>
      <c r="J14" s="33" t="inlineStr">
        <is>
          <t>Premio PUT
% do futuro</t>
        </is>
      </c>
      <c r="K14" s="33" t="inlineStr">
        <is>
          <t>Piso liquido
da PUT
(R$/saca)</t>
        </is>
      </c>
      <c r="L14" s="33" t="inlineStr">
        <is>
          <t>Premio PUT por
contrato
(R$)</t>
        </is>
      </c>
      <c r="M14" s="33" t="inlineStr">
        <is>
          <t>aux:
|strike - futuro|</t>
        </is>
      </c>
    </row>
    <row r="15">
      <c r="B15" s="14">
        <f>ROUND($D$6*0.80/5,0)*5</f>
        <v/>
      </c>
      <c r="C15" s="24">
        <f>IF($D$6=0,0,B15/$D$6)</f>
        <v/>
      </c>
      <c r="D15" s="21">
        <f>(LN($D$6/B15)+0.5*$D$7^2*$D$8)/$D$11</f>
        <v/>
      </c>
      <c r="E15" s="21">
        <f>D15-$D$11</f>
        <v/>
      </c>
      <c r="F15" s="40">
        <f>EXP(-$D$9*$D$8)*(B15*NORMSDIST(-E15)-$D$6*NORMSDIST(-D15))</f>
        <v/>
      </c>
      <c r="G15" s="35">
        <f>EXP(-$D$9*$D$8)*($D$6*NORMSDIST(D15)-B15*NORMSDIST(E15))</f>
        <v/>
      </c>
      <c r="H15" s="21">
        <f>-EXP(-$D$9*$D$8)*NORMSDIST(-D15)</f>
        <v/>
      </c>
      <c r="I15" s="27">
        <f>F15*$D$10</f>
        <v/>
      </c>
      <c r="J15" s="24">
        <f>IF($D$6=0,0,F15/$D$6)</f>
        <v/>
      </c>
      <c r="K15" s="41">
        <f>(B15-F15)*$D$10+Parametros!$C$18</f>
        <v/>
      </c>
      <c r="L15" s="25">
        <f>F15*$D$10*Parametros!$C$22</f>
        <v/>
      </c>
      <c r="M15" s="42">
        <f>ABS(B15-$D$6)</f>
        <v/>
      </c>
    </row>
    <row r="16">
      <c r="B16" s="35">
        <f>B15+ROUND($D$6*0.05/5,0)*5</f>
        <v/>
      </c>
      <c r="C16" s="24">
        <f>IF($D$6=0,0,B16/$D$6)</f>
        <v/>
      </c>
      <c r="D16" s="21">
        <f>(LN($D$6/B16)+0.5*$D$7^2*$D$8)/$D$11</f>
        <v/>
      </c>
      <c r="E16" s="21">
        <f>D16-$D$11</f>
        <v/>
      </c>
      <c r="F16" s="40">
        <f>EXP(-$D$9*$D$8)*(B16*NORMSDIST(-E16)-$D$6*NORMSDIST(-D16))</f>
        <v/>
      </c>
      <c r="G16" s="35">
        <f>EXP(-$D$9*$D$8)*($D$6*NORMSDIST(D16)-B16*NORMSDIST(E16))</f>
        <v/>
      </c>
      <c r="H16" s="21">
        <f>-EXP(-$D$9*$D$8)*NORMSDIST(-D16)</f>
        <v/>
      </c>
      <c r="I16" s="27">
        <f>F16*$D$10</f>
        <v/>
      </c>
      <c r="J16" s="24">
        <f>IF($D$6=0,0,F16/$D$6)</f>
        <v/>
      </c>
      <c r="K16" s="41">
        <f>(B16-F16)*$D$10+Parametros!$C$18</f>
        <v/>
      </c>
      <c r="L16" s="25">
        <f>F16*$D$10*Parametros!$C$22</f>
        <v/>
      </c>
      <c r="M16" s="42">
        <f>ABS(B16-$D$6)</f>
        <v/>
      </c>
    </row>
    <row r="17">
      <c r="B17" s="35">
        <f>B16+ROUND($D$6*0.05/5,0)*5</f>
        <v/>
      </c>
      <c r="C17" s="24">
        <f>IF($D$6=0,0,B17/$D$6)</f>
        <v/>
      </c>
      <c r="D17" s="21">
        <f>(LN($D$6/B17)+0.5*$D$7^2*$D$8)/$D$11</f>
        <v/>
      </c>
      <c r="E17" s="21">
        <f>D17-$D$11</f>
        <v/>
      </c>
      <c r="F17" s="40">
        <f>EXP(-$D$9*$D$8)*(B17*NORMSDIST(-E17)-$D$6*NORMSDIST(-D17))</f>
        <v/>
      </c>
      <c r="G17" s="35">
        <f>EXP(-$D$9*$D$8)*($D$6*NORMSDIST(D17)-B17*NORMSDIST(E17))</f>
        <v/>
      </c>
      <c r="H17" s="21">
        <f>-EXP(-$D$9*$D$8)*NORMSDIST(-D17)</f>
        <v/>
      </c>
      <c r="I17" s="27">
        <f>F17*$D$10</f>
        <v/>
      </c>
      <c r="J17" s="24">
        <f>IF($D$6=0,0,F17/$D$6)</f>
        <v/>
      </c>
      <c r="K17" s="41">
        <f>(B17-F17)*$D$10+Parametros!$C$18</f>
        <v/>
      </c>
      <c r="L17" s="25">
        <f>F17*$D$10*Parametros!$C$22</f>
        <v/>
      </c>
      <c r="M17" s="42">
        <f>ABS(B17-$D$6)</f>
        <v/>
      </c>
    </row>
    <row r="18">
      <c r="B18" s="35">
        <f>B17+ROUND($D$6*0.05/5,0)*5</f>
        <v/>
      </c>
      <c r="C18" s="24">
        <f>IF($D$6=0,0,B18/$D$6)</f>
        <v/>
      </c>
      <c r="D18" s="21">
        <f>(LN($D$6/B18)+0.5*$D$7^2*$D$8)/$D$11</f>
        <v/>
      </c>
      <c r="E18" s="21">
        <f>D18-$D$11</f>
        <v/>
      </c>
      <c r="F18" s="40">
        <f>EXP(-$D$9*$D$8)*(B18*NORMSDIST(-E18)-$D$6*NORMSDIST(-D18))</f>
        <v/>
      </c>
      <c r="G18" s="35">
        <f>EXP(-$D$9*$D$8)*($D$6*NORMSDIST(D18)-B18*NORMSDIST(E18))</f>
        <v/>
      </c>
      <c r="H18" s="21">
        <f>-EXP(-$D$9*$D$8)*NORMSDIST(-D18)</f>
        <v/>
      </c>
      <c r="I18" s="27">
        <f>F18*$D$10</f>
        <v/>
      </c>
      <c r="J18" s="24">
        <f>IF($D$6=0,0,F18/$D$6)</f>
        <v/>
      </c>
      <c r="K18" s="41">
        <f>(B18-F18)*$D$10+Parametros!$C$18</f>
        <v/>
      </c>
      <c r="L18" s="25">
        <f>F18*$D$10*Parametros!$C$22</f>
        <v/>
      </c>
      <c r="M18" s="42">
        <f>ABS(B18-$D$6)</f>
        <v/>
      </c>
    </row>
    <row r="19">
      <c r="B19" s="35">
        <f>B18+ROUND($D$6*0.05/5,0)*5</f>
        <v/>
      </c>
      <c r="C19" s="24">
        <f>IF($D$6=0,0,B19/$D$6)</f>
        <v/>
      </c>
      <c r="D19" s="21">
        <f>(LN($D$6/B19)+0.5*$D$7^2*$D$8)/$D$11</f>
        <v/>
      </c>
      <c r="E19" s="21">
        <f>D19-$D$11</f>
        <v/>
      </c>
      <c r="F19" s="40">
        <f>EXP(-$D$9*$D$8)*(B19*NORMSDIST(-E19)-$D$6*NORMSDIST(-D19))</f>
        <v/>
      </c>
      <c r="G19" s="35">
        <f>EXP(-$D$9*$D$8)*($D$6*NORMSDIST(D19)-B19*NORMSDIST(E19))</f>
        <v/>
      </c>
      <c r="H19" s="21">
        <f>-EXP(-$D$9*$D$8)*NORMSDIST(-D19)</f>
        <v/>
      </c>
      <c r="I19" s="27">
        <f>F19*$D$10</f>
        <v/>
      </c>
      <c r="J19" s="24">
        <f>IF($D$6=0,0,F19/$D$6)</f>
        <v/>
      </c>
      <c r="K19" s="41">
        <f>(B19-F19)*$D$10+Parametros!$C$18</f>
        <v/>
      </c>
      <c r="L19" s="25">
        <f>F19*$D$10*Parametros!$C$22</f>
        <v/>
      </c>
      <c r="M19" s="42">
        <f>ABS(B19-$D$6)</f>
        <v/>
      </c>
    </row>
    <row r="20">
      <c r="B20" s="35">
        <f>B19+ROUND($D$6*0.05/5,0)*5</f>
        <v/>
      </c>
      <c r="C20" s="24">
        <f>IF($D$6=0,0,B20/$D$6)</f>
        <v/>
      </c>
      <c r="D20" s="21">
        <f>(LN($D$6/B20)+0.5*$D$7^2*$D$8)/$D$11</f>
        <v/>
      </c>
      <c r="E20" s="21">
        <f>D20-$D$11</f>
        <v/>
      </c>
      <c r="F20" s="40">
        <f>EXP(-$D$9*$D$8)*(B20*NORMSDIST(-E20)-$D$6*NORMSDIST(-D20))</f>
        <v/>
      </c>
      <c r="G20" s="35">
        <f>EXP(-$D$9*$D$8)*($D$6*NORMSDIST(D20)-B20*NORMSDIST(E20))</f>
        <v/>
      </c>
      <c r="H20" s="21">
        <f>-EXP(-$D$9*$D$8)*NORMSDIST(-D20)</f>
        <v/>
      </c>
      <c r="I20" s="27">
        <f>F20*$D$10</f>
        <v/>
      </c>
      <c r="J20" s="24">
        <f>IF($D$6=0,0,F20/$D$6)</f>
        <v/>
      </c>
      <c r="K20" s="41">
        <f>(B20-F20)*$D$10+Parametros!$C$18</f>
        <v/>
      </c>
      <c r="L20" s="25">
        <f>F20*$D$10*Parametros!$C$22</f>
        <v/>
      </c>
      <c r="M20" s="42">
        <f>ABS(B20-$D$6)</f>
        <v/>
      </c>
    </row>
    <row r="21">
      <c r="B21" s="35">
        <f>B20+ROUND($D$6*0.05/5,0)*5</f>
        <v/>
      </c>
      <c r="C21" s="24">
        <f>IF($D$6=0,0,B21/$D$6)</f>
        <v/>
      </c>
      <c r="D21" s="21">
        <f>(LN($D$6/B21)+0.5*$D$7^2*$D$8)/$D$11</f>
        <v/>
      </c>
      <c r="E21" s="21">
        <f>D21-$D$11</f>
        <v/>
      </c>
      <c r="F21" s="40">
        <f>EXP(-$D$9*$D$8)*(B21*NORMSDIST(-E21)-$D$6*NORMSDIST(-D21))</f>
        <v/>
      </c>
      <c r="G21" s="35">
        <f>EXP(-$D$9*$D$8)*($D$6*NORMSDIST(D21)-B21*NORMSDIST(E21))</f>
        <v/>
      </c>
      <c r="H21" s="21">
        <f>-EXP(-$D$9*$D$8)*NORMSDIST(-D21)</f>
        <v/>
      </c>
      <c r="I21" s="27">
        <f>F21*$D$10</f>
        <v/>
      </c>
      <c r="J21" s="24">
        <f>IF($D$6=0,0,F21/$D$6)</f>
        <v/>
      </c>
      <c r="K21" s="41">
        <f>(B21-F21)*$D$10+Parametros!$C$18</f>
        <v/>
      </c>
      <c r="L21" s="25">
        <f>F21*$D$10*Parametros!$C$22</f>
        <v/>
      </c>
      <c r="M21" s="42">
        <f>ABS(B21-$D$6)</f>
        <v/>
      </c>
    </row>
    <row r="22">
      <c r="B22" s="35">
        <f>B21+ROUND($D$6*0.05/5,0)*5</f>
        <v/>
      </c>
      <c r="C22" s="24">
        <f>IF($D$6=0,0,B22/$D$6)</f>
        <v/>
      </c>
      <c r="D22" s="21">
        <f>(LN($D$6/B22)+0.5*$D$7^2*$D$8)/$D$11</f>
        <v/>
      </c>
      <c r="E22" s="21">
        <f>D22-$D$11</f>
        <v/>
      </c>
      <c r="F22" s="40">
        <f>EXP(-$D$9*$D$8)*(B22*NORMSDIST(-E22)-$D$6*NORMSDIST(-D22))</f>
        <v/>
      </c>
      <c r="G22" s="35">
        <f>EXP(-$D$9*$D$8)*($D$6*NORMSDIST(D22)-B22*NORMSDIST(E22))</f>
        <v/>
      </c>
      <c r="H22" s="21">
        <f>-EXP(-$D$9*$D$8)*NORMSDIST(-D22)</f>
        <v/>
      </c>
      <c r="I22" s="27">
        <f>F22*$D$10</f>
        <v/>
      </c>
      <c r="J22" s="24">
        <f>IF($D$6=0,0,F22/$D$6)</f>
        <v/>
      </c>
      <c r="K22" s="41">
        <f>(B22-F22)*$D$10+Parametros!$C$18</f>
        <v/>
      </c>
      <c r="L22" s="25">
        <f>F22*$D$10*Parametros!$C$22</f>
        <v/>
      </c>
      <c r="M22" s="42">
        <f>ABS(B22-$D$6)</f>
        <v/>
      </c>
    </row>
    <row r="23">
      <c r="B23" s="35">
        <f>B22+ROUND($D$6*0.05/5,0)*5</f>
        <v/>
      </c>
      <c r="C23" s="24">
        <f>IF($D$6=0,0,B23/$D$6)</f>
        <v/>
      </c>
      <c r="D23" s="21">
        <f>(LN($D$6/B23)+0.5*$D$7^2*$D$8)/$D$11</f>
        <v/>
      </c>
      <c r="E23" s="21">
        <f>D23-$D$11</f>
        <v/>
      </c>
      <c r="F23" s="40">
        <f>EXP(-$D$9*$D$8)*(B23*NORMSDIST(-E23)-$D$6*NORMSDIST(-D23))</f>
        <v/>
      </c>
      <c r="G23" s="35">
        <f>EXP(-$D$9*$D$8)*($D$6*NORMSDIST(D23)-B23*NORMSDIST(E23))</f>
        <v/>
      </c>
      <c r="H23" s="21">
        <f>-EXP(-$D$9*$D$8)*NORMSDIST(-D23)</f>
        <v/>
      </c>
      <c r="I23" s="27">
        <f>F23*$D$10</f>
        <v/>
      </c>
      <c r="J23" s="24">
        <f>IF($D$6=0,0,F23/$D$6)</f>
        <v/>
      </c>
      <c r="K23" s="41">
        <f>(B23-F23)*$D$10+Parametros!$C$18</f>
        <v/>
      </c>
      <c r="L23" s="25">
        <f>F23*$D$10*Parametros!$C$22</f>
        <v/>
      </c>
      <c r="M23" s="42">
        <f>ABS(B23-$D$6)</f>
        <v/>
      </c>
    </row>
    <row r="24">
      <c r="B24" s="35">
        <f>B23+ROUND($D$6*0.05/5,0)*5</f>
        <v/>
      </c>
      <c r="C24" s="24">
        <f>IF($D$6=0,0,B24/$D$6)</f>
        <v/>
      </c>
      <c r="D24" s="21">
        <f>(LN($D$6/B24)+0.5*$D$7^2*$D$8)/$D$11</f>
        <v/>
      </c>
      <c r="E24" s="21">
        <f>D24-$D$11</f>
        <v/>
      </c>
      <c r="F24" s="40">
        <f>EXP(-$D$9*$D$8)*(B24*NORMSDIST(-E24)-$D$6*NORMSDIST(-D24))</f>
        <v/>
      </c>
      <c r="G24" s="35">
        <f>EXP(-$D$9*$D$8)*($D$6*NORMSDIST(D24)-B24*NORMSDIST(E24))</f>
        <v/>
      </c>
      <c r="H24" s="21">
        <f>-EXP(-$D$9*$D$8)*NORMSDIST(-D24)</f>
        <v/>
      </c>
      <c r="I24" s="27">
        <f>F24*$D$10</f>
        <v/>
      </c>
      <c r="J24" s="24">
        <f>IF($D$6=0,0,F24/$D$6)</f>
        <v/>
      </c>
      <c r="K24" s="41">
        <f>(B24-F24)*$D$10+Parametros!$C$18</f>
        <v/>
      </c>
      <c r="L24" s="25">
        <f>F24*$D$10*Parametros!$C$22</f>
        <v/>
      </c>
      <c r="M24" s="42">
        <f>ABS(B24-$D$6)</f>
        <v/>
      </c>
    </row>
    <row r="25">
      <c r="B25" s="35">
        <f>B24+ROUND($D$6*0.05/5,0)*5</f>
        <v/>
      </c>
      <c r="C25" s="24">
        <f>IF($D$6=0,0,B25/$D$6)</f>
        <v/>
      </c>
      <c r="D25" s="21">
        <f>(LN($D$6/B25)+0.5*$D$7^2*$D$8)/$D$11</f>
        <v/>
      </c>
      <c r="E25" s="21">
        <f>D25-$D$11</f>
        <v/>
      </c>
      <c r="F25" s="40">
        <f>EXP(-$D$9*$D$8)*(B25*NORMSDIST(-E25)-$D$6*NORMSDIST(-D25))</f>
        <v/>
      </c>
      <c r="G25" s="35">
        <f>EXP(-$D$9*$D$8)*($D$6*NORMSDIST(D25)-B25*NORMSDIST(E25))</f>
        <v/>
      </c>
      <c r="H25" s="21">
        <f>-EXP(-$D$9*$D$8)*NORMSDIST(-D25)</f>
        <v/>
      </c>
      <c r="I25" s="27">
        <f>F25*$D$10</f>
        <v/>
      </c>
      <c r="J25" s="24">
        <f>IF($D$6=0,0,F25/$D$6)</f>
        <v/>
      </c>
      <c r="K25" s="41">
        <f>(B25-F25)*$D$10+Parametros!$C$18</f>
        <v/>
      </c>
      <c r="L25" s="25">
        <f>F25*$D$10*Parametros!$C$22</f>
        <v/>
      </c>
      <c r="M25" s="42">
        <f>ABS(B25-$D$6)</f>
        <v/>
      </c>
    </row>
    <row r="26">
      <c r="B26" s="35">
        <f>B25+ROUND($D$6*0.05/5,0)*5</f>
        <v/>
      </c>
      <c r="C26" s="24">
        <f>IF($D$6=0,0,B26/$D$6)</f>
        <v/>
      </c>
      <c r="D26" s="21">
        <f>(LN($D$6/B26)+0.5*$D$7^2*$D$8)/$D$11</f>
        <v/>
      </c>
      <c r="E26" s="21">
        <f>D26-$D$11</f>
        <v/>
      </c>
      <c r="F26" s="40">
        <f>EXP(-$D$9*$D$8)*(B26*NORMSDIST(-E26)-$D$6*NORMSDIST(-D26))</f>
        <v/>
      </c>
      <c r="G26" s="35">
        <f>EXP(-$D$9*$D$8)*($D$6*NORMSDIST(D26)-B26*NORMSDIST(E26))</f>
        <v/>
      </c>
      <c r="H26" s="21">
        <f>-EXP(-$D$9*$D$8)*NORMSDIST(-D26)</f>
        <v/>
      </c>
      <c r="I26" s="27">
        <f>F26*$D$10</f>
        <v/>
      </c>
      <c r="J26" s="24">
        <f>IF($D$6=0,0,F26/$D$6)</f>
        <v/>
      </c>
      <c r="K26" s="41">
        <f>(B26-F26)*$D$10+Parametros!$C$18</f>
        <v/>
      </c>
      <c r="L26" s="25">
        <f>F26*$D$10*Parametros!$C$22</f>
        <v/>
      </c>
      <c r="M26" s="42">
        <f>ABS(B26-$D$6)</f>
        <v/>
      </c>
    </row>
    <row r="27">
      <c r="B27" s="35">
        <f>B26+ROUND($D$6*0.05/5,0)*5</f>
        <v/>
      </c>
      <c r="C27" s="24">
        <f>IF($D$6=0,0,B27/$D$6)</f>
        <v/>
      </c>
      <c r="D27" s="21">
        <f>(LN($D$6/B27)+0.5*$D$7^2*$D$8)/$D$11</f>
        <v/>
      </c>
      <c r="E27" s="21">
        <f>D27-$D$11</f>
        <v/>
      </c>
      <c r="F27" s="40">
        <f>EXP(-$D$9*$D$8)*(B27*NORMSDIST(-E27)-$D$6*NORMSDIST(-D27))</f>
        <v/>
      </c>
      <c r="G27" s="35">
        <f>EXP(-$D$9*$D$8)*($D$6*NORMSDIST(D27)-B27*NORMSDIST(E27))</f>
        <v/>
      </c>
      <c r="H27" s="21">
        <f>-EXP(-$D$9*$D$8)*NORMSDIST(-D27)</f>
        <v/>
      </c>
      <c r="I27" s="27">
        <f>F27*$D$10</f>
        <v/>
      </c>
      <c r="J27" s="24">
        <f>IF($D$6=0,0,F27/$D$6)</f>
        <v/>
      </c>
      <c r="K27" s="41">
        <f>(B27-F27)*$D$10+Parametros!$C$18</f>
        <v/>
      </c>
      <c r="L27" s="25">
        <f>F27*$D$10*Parametros!$C$22</f>
        <v/>
      </c>
      <c r="M27" s="42">
        <f>ABS(B27-$D$6)</f>
        <v/>
      </c>
    </row>
    <row r="29">
      <c r="B29" s="3" t="inlineStr">
        <is>
          <t>Medias e leitura do custo do seguro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 ht="26" customHeight="1">
      <c r="B30" s="6" t="inlineStr">
        <is>
          <t>Premio medio das PUTs listadas</t>
        </is>
      </c>
      <c r="E30" s="40">
        <f>AVERAGE(F15:F27)</f>
        <v/>
      </c>
      <c r="F30" s="11" t="inlineStr">
        <is>
          <t>ATENCAO: NAO use como custo do hedge. A media inclui puts muito dentro do dinheiro, que sao caras por serem valor intrinseco e que o cliente jamais compraria.</t>
        </is>
      </c>
    </row>
    <row r="31" ht="26" customHeight="1">
      <c r="B31" s="6" t="inlineStr">
        <is>
          <t>Premio medio das PUTs (R$/saca)</t>
        </is>
      </c>
      <c r="E31" s="17">
        <f>AVERAGE(I15:I27)</f>
        <v/>
      </c>
      <c r="F31" s="11" t="inlineStr">
        <is>
          <t>Mesma ressalva acima. O numero que importa e o premio do strike que ele VAI comprar.</t>
        </is>
      </c>
    </row>
    <row r="32" ht="26" customHeight="1">
      <c r="B32" s="6" t="inlineStr">
        <is>
          <t>Premio medio como % do futuro</t>
        </is>
      </c>
      <c r="E32" s="38">
        <f>AVERAGE(J15:J27)</f>
        <v/>
      </c>
      <c r="F32" s="11" t="inlineStr">
        <is>
          <t>Regra de bolso: acima de 6-8% do valor do futuro para 3 meses, a put esta cara.</t>
        </is>
      </c>
    </row>
    <row r="33" ht="26" customHeight="1">
      <c r="B33" s="6" t="inlineStr">
        <is>
          <t>Strike medio da tabela</t>
        </is>
      </c>
      <c r="E33" s="40">
        <f>AVERAGE(B15:B27)</f>
        <v/>
      </c>
      <c r="F33" s="11" t="inlineStr">
        <is>
          <t>Centro da grade de strikes.</t>
        </is>
      </c>
    </row>
    <row r="34" ht="26" customHeight="1">
      <c r="B34" s="6" t="inlineStr">
        <is>
          <t>Strike mais proximo do futuro (ATM)</t>
        </is>
      </c>
      <c r="E34" s="40">
        <f>INDEX(B15:B27,MATCH(MIN(M15:M27),M15:M27,0))</f>
        <v/>
      </c>
      <c r="F34" s="11" t="inlineStr">
        <is>
          <t>Strike da grade mais colado no futuro.</t>
        </is>
      </c>
    </row>
    <row r="35" ht="26" customHeight="1">
      <c r="B35" s="6" t="inlineStr">
        <is>
          <t>Premio da PUT no dinheiro (ATM aprox.)</t>
        </is>
      </c>
      <c r="E35" s="40">
        <f>INDEX(F15:F27,MATCH(MIN(M15:M27),M15:M27,0))</f>
        <v/>
      </c>
      <c r="F35" s="11" t="inlineStr">
        <is>
          <t>Put com strike mais proximo do futuro. Referencia classica de 'quanto custa a vol'.</t>
        </is>
      </c>
    </row>
    <row r="36" ht="26" customHeight="1">
      <c r="B36" s="6" t="inlineStr">
        <is>
          <t>Piso liquido dessa PUT ATM (R$/saca)</t>
        </is>
      </c>
      <c r="E36" s="17">
        <f>INDEX(K15:K27,MATCH(MIN(M15:M27),M15:M27,0))</f>
        <v/>
      </c>
      <c r="F36" s="11" t="inlineStr">
        <is>
          <t>Preco minimo de revenda que o cliente garante comprando essa put.</t>
        </is>
      </c>
    </row>
    <row r="37" ht="26" customHeight="1">
      <c r="B37" s="6" t="inlineStr">
        <is>
          <t>Margem garantida por saca com a PUT ATM</t>
        </is>
      </c>
      <c r="E37" s="17">
        <f>INDEX(K15:K27,MATCH(MIN(M15:M27),M15:M27,0))-Parametros!C8-Parametros!C10*Parametros!C9</f>
        <v/>
      </c>
      <c r="F37" s="11" t="inlineStr">
        <is>
          <t>Piso liquido menos custo de compra e carrego. Se der negativo, a put nao protege a margem - so limita o prejuizo.</t>
        </is>
      </c>
    </row>
    <row r="39">
      <c r="B39" s="11" t="inlineStr">
        <is>
          <t>As formulas de premio usam Black-76 (opcao sobre futuro): PUT = e^(-rT) x [K x N(-d2) - F x N(-d1)]. Modelo padrao de mercado para opcao sobre commodity futura.</t>
        </is>
      </c>
    </row>
  </sheetData>
  <mergeCells count="27">
    <mergeCell ref="F31:L31"/>
    <mergeCell ref="B7:C7"/>
    <mergeCell ref="F9:L9"/>
    <mergeCell ref="F37:L37"/>
    <mergeCell ref="B34:D34"/>
    <mergeCell ref="B37:D37"/>
    <mergeCell ref="B11:C11"/>
    <mergeCell ref="B39:L39"/>
    <mergeCell ref="B30:D30"/>
    <mergeCell ref="F34:L34"/>
    <mergeCell ref="F10:L10"/>
    <mergeCell ref="B8:C8"/>
    <mergeCell ref="B33:D33"/>
    <mergeCell ref="B36:D36"/>
    <mergeCell ref="F7:L7"/>
    <mergeCell ref="B10:C10"/>
    <mergeCell ref="F30:L30"/>
    <mergeCell ref="B32:D32"/>
    <mergeCell ref="B35:D35"/>
    <mergeCell ref="B9:C9"/>
    <mergeCell ref="F33:L33"/>
    <mergeCell ref="B6:C6"/>
    <mergeCell ref="F36:L36"/>
    <mergeCell ref="F32:L32"/>
    <mergeCell ref="F8:L8"/>
    <mergeCell ref="B31:D31"/>
    <mergeCell ref="F35:L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46" customWidth="1" min="10" max="10"/>
    <col width="16" customWidth="1" min="12" max="12"/>
  </cols>
  <sheetData>
    <row r="2">
      <c r="B2" s="1" t="inlineStr">
        <is>
          <t>Comparacao de estruturas de protecao</t>
        </is>
      </c>
    </row>
    <row r="3">
      <c r="B3" s="2" t="inlineStr">
        <is>
          <t>Mesmo estoque, quatro caminhos. Resultado por saca no vencimento, ja liquido de premio, carrego e custo de compra.</t>
        </is>
      </c>
    </row>
    <row r="5">
      <c r="B5" s="3" t="inlineStr">
        <is>
          <t>Escolha dos strikes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B6" s="6" t="inlineStr">
        <is>
          <t>Strike da PUT comprada (US$/saca)</t>
        </is>
      </c>
      <c r="C6" s="14">
        <f>ROUND(Parametros!C13*0.95/5,0)*5</f>
        <v/>
      </c>
      <c r="E6" s="6" t="inlineStr">
        <is>
          <t>Premio da PUT (US$/saca)</t>
        </is>
      </c>
      <c r="F6" s="35">
        <f>EXP(-Parametros!C30*Parametros!C29)*(C6*NORMSDIST(-(( LN(Parametros!C13/C6)+0.5*Parametros!C28^2*Parametros!C29)/(Parametros!C28*SQRT(Parametros!C29))-Parametros!C28*SQRT(Parametros!C29)))-Parametros!C13*NORMSDIST(-((LN(Parametros!C13/C6)+0.5*Parametros!C28^2*Parametros!C29)/(Parametros!C28*SQRT(Parametros!C29)))))</f>
        <v/>
      </c>
      <c r="H6" s="6" t="inlineStr">
        <is>
          <t>Premio PUT (R$/saca)</t>
        </is>
      </c>
      <c r="I6" s="27">
        <f>F6*Parametros!C16</f>
        <v/>
      </c>
    </row>
    <row r="7">
      <c r="B7" s="6" t="inlineStr">
        <is>
          <t>Strike da CALL vendida (US$/saca)</t>
        </is>
      </c>
      <c r="C7" s="14">
        <f>ROUND(Parametros!C13*1.10/5,0)*5</f>
        <v/>
      </c>
      <c r="E7" s="6" t="inlineStr">
        <is>
          <t>Premio da CALL (US$/saca)</t>
        </is>
      </c>
      <c r="F7" s="35">
        <f>EXP(-Parametros!C30*Parametros!C29)*(Parametros!C13*NORMSDIST((LN(Parametros!C13/C7)+0.5*Parametros!C28^2*Parametros!C29)/(Parametros!C28*SQRT(Parametros!C29)))-C7*NORMSDIST((LN(Parametros!C13/C7)+0.5*Parametros!C28^2*Parametros!C29)/(Parametros!C28*SQRT(Parametros!C29))-Parametros!C28*SQRT(Parametros!C29)))</f>
        <v/>
      </c>
      <c r="H7" s="6" t="inlineStr">
        <is>
          <t>Premio CALL (R$/saca)</t>
        </is>
      </c>
      <c r="I7" s="27">
        <f>F7*Parametros!C16</f>
        <v/>
      </c>
    </row>
    <row r="8">
      <c r="B8" s="5" t="inlineStr">
        <is>
          <t>Custo liquido do COLLAR (R$/saca)</t>
        </is>
      </c>
      <c r="C8" s="41">
        <f>I6-I7</f>
        <v/>
      </c>
      <c r="E8" s="11" t="inlineStr">
        <is>
          <t>Se negativo, o collar entra com credito: a call vendida paga mais que a put comprada.</t>
        </is>
      </c>
    </row>
    <row r="10">
      <c r="B10" s="3" t="inlineStr">
        <is>
          <t>Bases por saca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B11" s="6" t="inlineStr">
        <is>
          <t>Custo de compra + carrego (R$/saca)</t>
        </is>
      </c>
      <c r="C11" s="31">
        <f>Parametros!C8+Parametros!C10*Parametros!C9</f>
        <v/>
      </c>
      <c r="E11" s="6" t="inlineStr">
        <is>
          <t>ICF hoje (US$/saca)</t>
        </is>
      </c>
      <c r="F11" s="29">
        <f>Parametros!C13</f>
        <v/>
      </c>
      <c r="H11" s="6" t="inlineStr">
        <is>
          <t>Cambio no vencimento</t>
        </is>
      </c>
      <c r="I11" s="30">
        <f>Parametros!C16</f>
        <v/>
      </c>
    </row>
    <row r="12">
      <c r="B12" s="6" t="inlineStr">
        <is>
          <t>Razao de hedge aplicada</t>
        </is>
      </c>
      <c r="C12" s="20">
        <f>Parametros!C21</f>
        <v/>
      </c>
      <c r="E12" s="6" t="inlineStr">
        <is>
          <t>Basis de venda (R$/saca)</t>
        </is>
      </c>
      <c r="F12" s="31">
        <f>Parametros!C18</f>
        <v/>
      </c>
    </row>
    <row r="15" ht="48" customHeight="1">
      <c r="B15" s="33" t="inlineStr">
        <is>
          <t>ICF no
vencimento
(US$/saca)</t>
        </is>
      </c>
      <c r="C15" s="33" t="inlineStr">
        <is>
          <t>A) Sem hedge
(R$/saca)</t>
        </is>
      </c>
      <c r="D15" s="33" t="inlineStr">
        <is>
          <t>B) Futuro
vendido
(R$/saca)</t>
        </is>
      </c>
      <c r="E15" s="33" t="inlineStr">
        <is>
          <t>C) PUT
comprada
(R$/saca)</t>
        </is>
      </c>
      <c r="F15" s="33" t="inlineStr">
        <is>
          <t>D) Collar
put + call
(R$/saca)</t>
        </is>
      </c>
      <c r="G15" s="33" t="inlineStr">
        <is>
          <t>Melhor
estrutura no
cenario</t>
        </is>
      </c>
      <c r="L15" s="11" t="inlineStr">
        <is>
          <t>aux: rotulos</t>
        </is>
      </c>
    </row>
    <row r="16">
      <c r="B16" s="35">
        <f>$F$11*(1+-0.35)</f>
        <v/>
      </c>
      <c r="C16" s="27">
        <f>B16*$I$11+$F$12-$C$11</f>
        <v/>
      </c>
      <c r="D16" s="27">
        <f>C16+($F$11-B16)*$I$11*$C$12</f>
        <v/>
      </c>
      <c r="E16" s="27">
        <f>C16+(MAX($C$6-B16,0)*$I$11-$I$6)*$C$12</f>
        <v/>
      </c>
      <c r="F16" s="27">
        <f>C16+(MAX($C$6-B16,0)*$I$11-MAX(B16-$C$7,0)*$I$11-$C$8)*$C$12</f>
        <v/>
      </c>
      <c r="G16" s="43">
        <f>INDEX($L$16:$L$19,MATCH(MAX(C16:F16),C16:F16,0))</f>
        <v/>
      </c>
      <c r="L16" s="11" t="inlineStr">
        <is>
          <t>A) Sem hedge</t>
        </is>
      </c>
    </row>
    <row r="17">
      <c r="B17" s="35">
        <f>$F$11*(1+-0.3)</f>
        <v/>
      </c>
      <c r="C17" s="27">
        <f>B17*$I$11+$F$12-$C$11</f>
        <v/>
      </c>
      <c r="D17" s="27">
        <f>C17+($F$11-B17)*$I$11*$C$12</f>
        <v/>
      </c>
      <c r="E17" s="27">
        <f>C17+(MAX($C$6-B17,0)*$I$11-$I$6)*$C$12</f>
        <v/>
      </c>
      <c r="F17" s="27">
        <f>C17+(MAX($C$6-B17,0)*$I$11-MAX(B17-$C$7,0)*$I$11-$C$8)*$C$12</f>
        <v/>
      </c>
      <c r="G17" s="43">
        <f>INDEX($L$16:$L$19,MATCH(MAX(C17:F17),C17:F17,0))</f>
        <v/>
      </c>
      <c r="L17" s="11" t="inlineStr">
        <is>
          <t>B) Futuro</t>
        </is>
      </c>
    </row>
    <row r="18">
      <c r="B18" s="35">
        <f>$F$11*(1+-0.25)</f>
        <v/>
      </c>
      <c r="C18" s="27">
        <f>B18*$I$11+$F$12-$C$11</f>
        <v/>
      </c>
      <c r="D18" s="27">
        <f>C18+($F$11-B18)*$I$11*$C$12</f>
        <v/>
      </c>
      <c r="E18" s="27">
        <f>C18+(MAX($C$6-B18,0)*$I$11-$I$6)*$C$12</f>
        <v/>
      </c>
      <c r="F18" s="27">
        <f>C18+(MAX($C$6-B18,0)*$I$11-MAX(B18-$C$7,0)*$I$11-$C$8)*$C$12</f>
        <v/>
      </c>
      <c r="G18" s="43">
        <f>INDEX($L$16:$L$19,MATCH(MAX(C18:F18),C18:F18,0))</f>
        <v/>
      </c>
      <c r="L18" s="11" t="inlineStr">
        <is>
          <t>C) PUT</t>
        </is>
      </c>
    </row>
    <row r="19">
      <c r="B19" s="35">
        <f>$F$11*(1+-0.2)</f>
        <v/>
      </c>
      <c r="C19" s="27">
        <f>B19*$I$11+$F$12-$C$11</f>
        <v/>
      </c>
      <c r="D19" s="27">
        <f>C19+($F$11-B19)*$I$11*$C$12</f>
        <v/>
      </c>
      <c r="E19" s="27">
        <f>C19+(MAX($C$6-B19,0)*$I$11-$I$6)*$C$12</f>
        <v/>
      </c>
      <c r="F19" s="27">
        <f>C19+(MAX($C$6-B19,0)*$I$11-MAX(B19-$C$7,0)*$I$11-$C$8)*$C$12</f>
        <v/>
      </c>
      <c r="G19" s="43">
        <f>INDEX($L$16:$L$19,MATCH(MAX(C19:F19),C19:F19,0))</f>
        <v/>
      </c>
      <c r="L19" s="11" t="inlineStr">
        <is>
          <t>D) Collar</t>
        </is>
      </c>
    </row>
    <row r="20">
      <c r="B20" s="35">
        <f>$F$11*(1+-0.15)</f>
        <v/>
      </c>
      <c r="C20" s="27">
        <f>B20*$I$11+$F$12-$C$11</f>
        <v/>
      </c>
      <c r="D20" s="27">
        <f>C20+($F$11-B20)*$I$11*$C$12</f>
        <v/>
      </c>
      <c r="E20" s="27">
        <f>C20+(MAX($C$6-B20,0)*$I$11-$I$6)*$C$12</f>
        <v/>
      </c>
      <c r="F20" s="27">
        <f>C20+(MAX($C$6-B20,0)*$I$11-MAX(B20-$C$7,0)*$I$11-$C$8)*$C$12</f>
        <v/>
      </c>
      <c r="G20" s="43">
        <f>INDEX($L$16:$L$19,MATCH(MAX(C20:F20),C20:F20,0))</f>
        <v/>
      </c>
    </row>
    <row r="21">
      <c r="B21" s="35">
        <f>$F$11*(1+-0.1)</f>
        <v/>
      </c>
      <c r="C21" s="27">
        <f>B21*$I$11+$F$12-$C$11</f>
        <v/>
      </c>
      <c r="D21" s="27">
        <f>C21+($F$11-B21)*$I$11*$C$12</f>
        <v/>
      </c>
      <c r="E21" s="27">
        <f>C21+(MAX($C$6-B21,0)*$I$11-$I$6)*$C$12</f>
        <v/>
      </c>
      <c r="F21" s="27">
        <f>C21+(MAX($C$6-B21,0)*$I$11-MAX(B21-$C$7,0)*$I$11-$C$8)*$C$12</f>
        <v/>
      </c>
      <c r="G21" s="43">
        <f>INDEX($L$16:$L$19,MATCH(MAX(C21:F21),C21:F21,0))</f>
        <v/>
      </c>
    </row>
    <row r="22">
      <c r="B22" s="35">
        <f>$F$11*(1+-0.05)</f>
        <v/>
      </c>
      <c r="C22" s="27">
        <f>B22*$I$11+$F$12-$C$11</f>
        <v/>
      </c>
      <c r="D22" s="27">
        <f>C22+($F$11-B22)*$I$11*$C$12</f>
        <v/>
      </c>
      <c r="E22" s="27">
        <f>C22+(MAX($C$6-B22,0)*$I$11-$I$6)*$C$12</f>
        <v/>
      </c>
      <c r="F22" s="27">
        <f>C22+(MAX($C$6-B22,0)*$I$11-MAX(B22-$C$7,0)*$I$11-$C$8)*$C$12</f>
        <v/>
      </c>
      <c r="G22" s="43">
        <f>INDEX($L$16:$L$19,MATCH(MAX(C22:F22),C22:F22,0))</f>
        <v/>
      </c>
    </row>
    <row r="23">
      <c r="B23" s="35">
        <f>$F$11*(1+0.0)</f>
        <v/>
      </c>
      <c r="C23" s="27">
        <f>B23*$I$11+$F$12-$C$11</f>
        <v/>
      </c>
      <c r="D23" s="27">
        <f>C23+($F$11-B23)*$I$11*$C$12</f>
        <v/>
      </c>
      <c r="E23" s="27">
        <f>C23+(MAX($C$6-B23,0)*$I$11-$I$6)*$C$12</f>
        <v/>
      </c>
      <c r="F23" s="27">
        <f>C23+(MAX($C$6-B23,0)*$I$11-MAX(B23-$C$7,0)*$I$11-$C$8)*$C$12</f>
        <v/>
      </c>
      <c r="G23" s="43">
        <f>INDEX($L$16:$L$19,MATCH(MAX(C23:F23),C23:F23,0))</f>
        <v/>
      </c>
    </row>
    <row r="24">
      <c r="B24" s="35">
        <f>$F$11*(1+0.05)</f>
        <v/>
      </c>
      <c r="C24" s="27">
        <f>B24*$I$11+$F$12-$C$11</f>
        <v/>
      </c>
      <c r="D24" s="27">
        <f>C24+($F$11-B24)*$I$11*$C$12</f>
        <v/>
      </c>
      <c r="E24" s="27">
        <f>C24+(MAX($C$6-B24,0)*$I$11-$I$6)*$C$12</f>
        <v/>
      </c>
      <c r="F24" s="27">
        <f>C24+(MAX($C$6-B24,0)*$I$11-MAX(B24-$C$7,0)*$I$11-$C$8)*$C$12</f>
        <v/>
      </c>
      <c r="G24" s="43">
        <f>INDEX($L$16:$L$19,MATCH(MAX(C24:F24),C24:F24,0))</f>
        <v/>
      </c>
    </row>
    <row r="25">
      <c r="B25" s="35">
        <f>$F$11*(1+0.1)</f>
        <v/>
      </c>
      <c r="C25" s="27">
        <f>B25*$I$11+$F$12-$C$11</f>
        <v/>
      </c>
      <c r="D25" s="27">
        <f>C25+($F$11-B25)*$I$11*$C$12</f>
        <v/>
      </c>
      <c r="E25" s="27">
        <f>C25+(MAX($C$6-B25,0)*$I$11-$I$6)*$C$12</f>
        <v/>
      </c>
      <c r="F25" s="27">
        <f>C25+(MAX($C$6-B25,0)*$I$11-MAX(B25-$C$7,0)*$I$11-$C$8)*$C$12</f>
        <v/>
      </c>
      <c r="G25" s="43">
        <f>INDEX($L$16:$L$19,MATCH(MAX(C25:F25),C25:F25,0))</f>
        <v/>
      </c>
    </row>
    <row r="26">
      <c r="B26" s="35">
        <f>$F$11*(1+0.15)</f>
        <v/>
      </c>
      <c r="C26" s="27">
        <f>B26*$I$11+$F$12-$C$11</f>
        <v/>
      </c>
      <c r="D26" s="27">
        <f>C26+($F$11-B26)*$I$11*$C$12</f>
        <v/>
      </c>
      <c r="E26" s="27">
        <f>C26+(MAX($C$6-B26,0)*$I$11-$I$6)*$C$12</f>
        <v/>
      </c>
      <c r="F26" s="27">
        <f>C26+(MAX($C$6-B26,0)*$I$11-MAX(B26-$C$7,0)*$I$11-$C$8)*$C$12</f>
        <v/>
      </c>
      <c r="G26" s="43">
        <f>INDEX($L$16:$L$19,MATCH(MAX(C26:F26),C26:F26,0))</f>
        <v/>
      </c>
    </row>
    <row r="27">
      <c r="B27" s="35">
        <f>$F$11*(1+0.2)</f>
        <v/>
      </c>
      <c r="C27" s="27">
        <f>B27*$I$11+$F$12-$C$11</f>
        <v/>
      </c>
      <c r="D27" s="27">
        <f>C27+($F$11-B27)*$I$11*$C$12</f>
        <v/>
      </c>
      <c r="E27" s="27">
        <f>C27+(MAX($C$6-B27,0)*$I$11-$I$6)*$C$12</f>
        <v/>
      </c>
      <c r="F27" s="27">
        <f>C27+(MAX($C$6-B27,0)*$I$11-MAX(B27-$C$7,0)*$I$11-$C$8)*$C$12</f>
        <v/>
      </c>
      <c r="G27" s="43">
        <f>INDEX($L$16:$L$19,MATCH(MAX(C27:F27),C27:F27,0))</f>
        <v/>
      </c>
    </row>
    <row r="28">
      <c r="B28" s="35">
        <f>$F$11*(1+0.25)</f>
        <v/>
      </c>
      <c r="C28" s="27">
        <f>B28*$I$11+$F$12-$C$11</f>
        <v/>
      </c>
      <c r="D28" s="27">
        <f>C28+($F$11-B28)*$I$11*$C$12</f>
        <v/>
      </c>
      <c r="E28" s="27">
        <f>C28+(MAX($C$6-B28,0)*$I$11-$I$6)*$C$12</f>
        <v/>
      </c>
      <c r="F28" s="27">
        <f>C28+(MAX($C$6-B28,0)*$I$11-MAX(B28-$C$7,0)*$I$11-$C$8)*$C$12</f>
        <v/>
      </c>
      <c r="G28" s="43">
        <f>INDEX($L$16:$L$19,MATCH(MAX(C28:F28),C28:F28,0))</f>
        <v/>
      </c>
    </row>
    <row r="29">
      <c r="B29" s="35">
        <f>$F$11*(1+0.3)</f>
        <v/>
      </c>
      <c r="C29" s="27">
        <f>B29*$I$11+$F$12-$C$11</f>
        <v/>
      </c>
      <c r="D29" s="27">
        <f>C29+($F$11-B29)*$I$11*$C$12</f>
        <v/>
      </c>
      <c r="E29" s="27">
        <f>C29+(MAX($C$6-B29,0)*$I$11-$I$6)*$C$12</f>
        <v/>
      </c>
      <c r="F29" s="27">
        <f>C29+(MAX($C$6-B29,0)*$I$11-MAX(B29-$C$7,0)*$I$11-$C$8)*$C$12</f>
        <v/>
      </c>
      <c r="G29" s="43">
        <f>INDEX($L$16:$L$19,MATCH(MAX(C29:F29),C29:F29,0))</f>
        <v/>
      </c>
    </row>
    <row r="30">
      <c r="B30" s="35">
        <f>$F$11*(1+0.35)</f>
        <v/>
      </c>
      <c r="C30" s="27">
        <f>B30*$I$11+$F$12-$C$11</f>
        <v/>
      </c>
      <c r="D30" s="27">
        <f>C30+($F$11-B30)*$I$11*$C$12</f>
        <v/>
      </c>
      <c r="E30" s="27">
        <f>C30+(MAX($C$6-B30,0)*$I$11-$I$6)*$C$12</f>
        <v/>
      </c>
      <c r="F30" s="27">
        <f>C30+(MAX($C$6-B30,0)*$I$11-MAX(B30-$C$7,0)*$I$11-$C$8)*$C$12</f>
        <v/>
      </c>
      <c r="G30" s="43">
        <f>INDEX($L$16:$L$19,MATCH(MAX(C30:F30),C30:F30,0))</f>
        <v/>
      </c>
    </row>
    <row r="32">
      <c r="B32" s="3" t="inlineStr">
        <is>
          <t>Leitura das estruturas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30" customHeight="1">
      <c r="B33" s="33" t="inlineStr">
        <is>
          <t>Indicador</t>
        </is>
      </c>
      <c r="C33" s="33" t="inlineStr">
        <is>
          <t>A) Sem hedge</t>
        </is>
      </c>
      <c r="D33" s="33" t="inlineStr">
        <is>
          <t>B) Futuro</t>
        </is>
      </c>
      <c r="E33" s="33" t="inlineStr">
        <is>
          <t>C) PUT</t>
        </is>
      </c>
      <c r="F33" s="33" t="inlineStr">
        <is>
          <t>D) Collar</t>
        </is>
      </c>
      <c r="G33" s="33" t="inlineStr">
        <is>
          <t>Comentario</t>
        </is>
      </c>
    </row>
    <row r="34" ht="24" customHeight="1">
      <c r="B34" s="6" t="inlineStr">
        <is>
          <t>Pior caso (R$/saca)</t>
        </is>
      </c>
      <c r="C34" s="27">
        <f>MIN(C16:C30)</f>
        <v/>
      </c>
      <c r="D34" s="27">
        <f>MIN(D16:D30)</f>
        <v/>
      </c>
      <c r="E34" s="27">
        <f>MIN(E16:E30)</f>
        <v/>
      </c>
      <c r="F34" s="27">
        <f>MIN(F16:F30)</f>
        <v/>
      </c>
      <c r="G34" s="11" t="inlineStr">
        <is>
          <t>O piso de cada estrutura. E o numero que decide se o cliente dorme.</t>
        </is>
      </c>
    </row>
    <row r="35" ht="24" customHeight="1">
      <c r="B35" s="6" t="inlineStr">
        <is>
          <t>Melhor caso (R$/saca)</t>
        </is>
      </c>
      <c r="C35" s="27">
        <f>MAX(C16:C30)</f>
        <v/>
      </c>
      <c r="D35" s="27">
        <f>MAX(D16:D30)</f>
        <v/>
      </c>
      <c r="E35" s="27">
        <f>MAX(E16:E30)</f>
        <v/>
      </c>
      <c r="F35" s="27">
        <f>MAX(F16:F30)</f>
        <v/>
      </c>
      <c r="G35" s="11" t="inlineStr">
        <is>
          <t>Quanto de alta cada estrutura preserva. O futuro entrega o pior numero aqui.</t>
        </is>
      </c>
    </row>
    <row r="36" ht="24" customHeight="1">
      <c r="B36" s="6" t="inlineStr">
        <is>
          <t>Resultado medio (R$/saca)</t>
        </is>
      </c>
      <c r="C36" s="27">
        <f>AVERAGE(C16:C30)</f>
        <v/>
      </c>
      <c r="D36" s="27">
        <f>AVERAGE(D16:D30)</f>
        <v/>
      </c>
      <c r="E36" s="27">
        <f>AVERAGE(E16:E30)</f>
        <v/>
      </c>
      <c r="F36" s="27">
        <f>AVERAGE(F16:F30)</f>
        <v/>
      </c>
      <c r="G36" s="11" t="inlineStr">
        <is>
          <t>Media simples dos cenarios - nao e probabilidade, e so o centro da tabela.</t>
        </is>
      </c>
    </row>
    <row r="37">
      <c r="B37" s="5" t="inlineStr">
        <is>
          <t>Amplitude (melhor - pior)</t>
        </is>
      </c>
      <c r="C37" s="41">
        <f>MAX(C16:C30)-MIN(C16:C30)</f>
        <v/>
      </c>
      <c r="D37" s="41">
        <f>MAX(D16:D30)-MIN(D16:D30)</f>
        <v/>
      </c>
      <c r="E37" s="41">
        <f>MAX(E16:E30)-MIN(E16:E30)</f>
        <v/>
      </c>
      <c r="F37" s="41">
        <f>MAX(F16:F30)-MIN(F16:F30)</f>
        <v/>
      </c>
      <c r="G37" s="11" t="inlineStr">
        <is>
          <t>Quanto menor, mais previsivel o resultado. Previsibilidade e o produto que o hedge vende.</t>
        </is>
      </c>
    </row>
    <row r="38" ht="28" customHeight="1">
      <c r="B38" s="6" t="inlineStr">
        <is>
          <t>Custo da estrutura (R$/saca)</t>
        </is>
      </c>
      <c r="C38" s="27" t="n">
        <v>0</v>
      </c>
      <c r="D38" s="31">
        <f>Dimensionamento!C27</f>
        <v/>
      </c>
      <c r="E38" s="27">
        <f>I6*C12+Dimensionamento!C27</f>
        <v/>
      </c>
      <c r="F38" s="27">
        <f>C8*C12+Dimensionamento!C27</f>
        <v/>
      </c>
      <c r="G38" s="11" t="inlineStr">
        <is>
          <t>Desembolso para montar. Futuro nao paga premio mas consome margem; put paga premio e nao chama margem.</t>
        </is>
      </c>
    </row>
    <row r="39" ht="28" customHeight="1">
      <c r="B39" s="6" t="inlineStr">
        <is>
          <t>Consome margem de garantia?</t>
        </is>
      </c>
      <c r="C39" s="43" t="inlineStr">
        <is>
          <t>Nao</t>
        </is>
      </c>
      <c r="D39" s="43" t="inlineStr">
        <is>
          <t>Sim - alta</t>
        </is>
      </c>
      <c r="E39" s="43" t="inlineStr">
        <is>
          <t>Nao</t>
        </is>
      </c>
      <c r="F39" s="43" t="inlineStr">
        <is>
          <t>Sim - pela call</t>
        </is>
      </c>
      <c r="G39" s="11" t="inlineStr">
        <is>
          <t>Ponto pratico decisivo: put comprada nao gera chamada de margem, futuro vendido gera se o cafe subir.</t>
        </is>
      </c>
    </row>
    <row r="41">
      <c r="B41" s="3" t="inlineStr">
        <is>
          <t>Teste de viabilidade: a protecao cabe na margem do cliente?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 ht="26" customHeight="1">
      <c r="B42" s="5" t="inlineStr">
        <is>
          <t>Margem comercial bruta (R$/saca)</t>
        </is>
      </c>
      <c r="E42" s="41">
        <f>$F$11*$I$11+$F$12-$C$11</f>
        <v/>
      </c>
      <c r="F42" s="11" t="inlineStr">
        <is>
          <t>Preco de revenda ao preco de hoje, menos custo de compra e carrego. E o lucro que existe para ser protegido.</t>
        </is>
      </c>
    </row>
    <row r="43" ht="26" customHeight="1">
      <c r="B43" s="33" t="inlineStr">
        <is>
          <t>Estrutura</t>
        </is>
      </c>
      <c r="C43" s="33" t="inlineStr">
        <is>
          <t>Custo (R$/saca)</t>
        </is>
      </c>
      <c r="D43" s="33" t="inlineStr">
        <is>
          <t>% da margem</t>
        </is>
      </c>
      <c r="E43" s="33" t="inlineStr">
        <is>
          <t>Veredito</t>
        </is>
      </c>
    </row>
    <row r="44" ht="24" customHeight="1">
      <c r="B44" s="6" t="inlineStr">
        <is>
          <t>PUT comprada (strike da celula C6)</t>
        </is>
      </c>
      <c r="C44" s="27">
        <f>$I$6</f>
        <v/>
      </c>
      <c r="D44" s="24">
        <f>IF($E$42&lt;=0,"",C44/$E$42)</f>
        <v/>
      </c>
      <c r="E44" s="44">
        <f>IF($E$42&lt;=0,"Sem margem para proteger - revise compra/carrego",IF(D44&gt;1,"INVIAVEL - custa mais que o lucro",IF(D44&gt;0.5,"CARO - come mais da metade da margem",IF(D44&gt;0.25,"ACEITAVEL","CONFORTAVEL"))))</f>
        <v/>
      </c>
      <c r="F44" s="45" t="n"/>
      <c r="G44" s="45" t="n"/>
      <c r="H44" s="45" t="n"/>
      <c r="I44" s="45" t="n"/>
      <c r="J44" s="46" t="n"/>
    </row>
    <row r="45" ht="24" customHeight="1">
      <c r="B45" s="6" t="inlineStr">
        <is>
          <t>Collar (put + call vendida)</t>
        </is>
      </c>
      <c r="C45" s="27">
        <f>$C$8</f>
        <v/>
      </c>
      <c r="D45" s="24">
        <f>IF($E$42&lt;=0,"",C45/$E$42)</f>
        <v/>
      </c>
      <c r="E45" s="44">
        <f>IF($E$42&lt;=0,"Sem margem para proteger - revise compra/carrego",IF(D45&gt;1,"INVIAVEL - custa mais que o lucro",IF(D45&gt;0.5,"CARO - come mais da metade da margem",IF(D45&gt;0.25,"ACEITAVEL","CONFORTAVEL"))))</f>
        <v/>
      </c>
      <c r="F45" s="45" t="n"/>
      <c r="G45" s="45" t="n"/>
      <c r="H45" s="45" t="n"/>
      <c r="I45" s="45" t="n"/>
      <c r="J45" s="46" t="n"/>
    </row>
    <row r="46" ht="24" customHeight="1">
      <c r="B46" s="6" t="inlineStr">
        <is>
          <t>Futuro vendido (so custo operacional)</t>
        </is>
      </c>
      <c r="C46" s="27">
        <f>Dimensionamento!C27</f>
        <v/>
      </c>
      <c r="D46" s="24">
        <f>IF($E$42&lt;=0,"",C46/$E$42)</f>
        <v/>
      </c>
      <c r="E46" s="44">
        <f>IF($E$42&lt;=0,"Sem margem para proteger - revise compra/carrego",IF(D46&gt;1,"INVIAVEL - custa mais que o lucro",IF(D46&gt;0.5,"CARO - come mais da metade da margem",IF(D46&gt;0.25,"ACEITAVEL","CONFORTAVEL"))))</f>
        <v/>
      </c>
      <c r="F46" s="45" t="n"/>
      <c r="G46" s="45" t="n"/>
      <c r="H46" s="45" t="n"/>
      <c r="I46" s="45" t="n"/>
      <c r="J46" s="46" t="n"/>
    </row>
    <row r="48" ht="32" customHeight="1">
      <c r="B48" s="11" t="inlineStr">
        <is>
          <t>Regra de bolso: protecao que consome mais de 50% da margem comercial transfere o lucro do cliente para quem vende a opcao. Nesse caso, reduza a razao de hedge, va para strike mais fora do dinheiro, ou financie a put vendendo call (collar).</t>
        </is>
      </c>
    </row>
  </sheetData>
  <mergeCells count="13">
    <mergeCell ref="B42:D42"/>
    <mergeCell ref="E46:J46"/>
    <mergeCell ref="G39:J39"/>
    <mergeCell ref="G35:J35"/>
    <mergeCell ref="G34:J34"/>
    <mergeCell ref="E45:J45"/>
    <mergeCell ref="F42:J42"/>
    <mergeCell ref="B48:J48"/>
    <mergeCell ref="G38:J38"/>
    <mergeCell ref="E8:I8"/>
    <mergeCell ref="E44:J44"/>
    <mergeCell ref="G37:J37"/>
    <mergeCell ref="G36:J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8" customWidth="1" min="9" max="9"/>
    <col width="44" customWidth="1" min="10" max="10"/>
  </cols>
  <sheetData>
    <row r="2">
      <c r="B2" s="1" t="inlineStr">
        <is>
          <t>Programa de hedge - preco medio travado</t>
        </is>
      </c>
    </row>
    <row r="3" ht="28" customHeight="1">
      <c r="B3" s="2" t="inlineStr">
        <is>
          <t>Em vez de travar tudo num dia, trava em tranches. O resultado e um PRECO MEDIO - menos sorte, menos arrependimento, menos briga com o cliente depois.</t>
        </is>
      </c>
    </row>
    <row r="5">
      <c r="B5" s="3" t="inlineStr">
        <is>
          <t>Tranches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7" ht="48" customHeight="1">
      <c r="B7" s="33" t="inlineStr">
        <is>
          <t>Tranche</t>
        </is>
      </c>
      <c r="C7" s="33" t="inlineStr">
        <is>
          <t>Data/gatilho</t>
        </is>
      </c>
      <c r="D7" s="33" t="inlineStr">
        <is>
          <t>Sacas
travadas</t>
        </is>
      </c>
      <c r="E7" s="33" t="inlineStr">
        <is>
          <t>Contratos
ICF</t>
        </is>
      </c>
      <c r="F7" s="33" t="inlineStr">
        <is>
          <t>ICF travado
(US$/saca)</t>
        </is>
      </c>
      <c r="G7" s="33" t="inlineStr">
        <is>
          <t>Cambio
travado</t>
        </is>
      </c>
      <c r="H7" s="33" t="inlineStr">
        <is>
          <t>Preco travado
(R$/saca)</t>
        </is>
      </c>
      <c r="I7" s="33" t="inlineStr">
        <is>
          <t>Sacas
acumuladas</t>
        </is>
      </c>
      <c r="J7" s="33" t="inlineStr">
        <is>
          <t>Preco medio
acumulado
(R$/saca)</t>
        </is>
      </c>
    </row>
    <row r="8">
      <c r="B8" s="47" t="inlineStr">
        <is>
          <t>Tranche 1</t>
        </is>
      </c>
      <c r="C8" s="48" t="inlineStr">
        <is>
          <t>Ja executada (exemplo)</t>
        </is>
      </c>
      <c r="D8" s="10" t="n">
        <v>300</v>
      </c>
      <c r="E8" s="21">
        <f>D8/Parametros!$C$22</f>
        <v/>
      </c>
      <c r="F8" s="14" t="n">
        <v>368.4</v>
      </c>
      <c r="G8" s="13" t="n">
        <v>5.2</v>
      </c>
      <c r="H8" s="27">
        <f>F8*G8+Parametros!$C$18</f>
        <v/>
      </c>
      <c r="I8" s="23">
        <f>SUM($D$8:D8)</f>
        <v/>
      </c>
      <c r="J8" s="41">
        <f>IF(I8=0,0,SUMPRODUCT($D$8:D8,$H$8:H8)/I8)</f>
        <v/>
      </c>
    </row>
    <row r="9">
      <c r="B9" s="47" t="inlineStr">
        <is>
          <t>Tranche 2</t>
        </is>
      </c>
      <c r="C9" s="48" t="inlineStr">
        <is>
          <t>A definir</t>
        </is>
      </c>
      <c r="D9" s="10" t="n">
        <v>300</v>
      </c>
      <c r="E9" s="21">
        <f>D9/Parametros!$C$22</f>
        <v/>
      </c>
      <c r="F9" s="14" t="n">
        <v>368.4</v>
      </c>
      <c r="G9" s="13" t="n">
        <v>5.2</v>
      </c>
      <c r="H9" s="27">
        <f>F9*G9+Parametros!$C$18</f>
        <v/>
      </c>
      <c r="I9" s="23">
        <f>SUM($D$8:D9)</f>
        <v/>
      </c>
      <c r="J9" s="41">
        <f>IF(I9=0,0,SUMPRODUCT($D$8:D9,$H$8:H9)/I9)</f>
        <v/>
      </c>
    </row>
    <row r="10">
      <c r="B10" s="47" t="inlineStr">
        <is>
          <t>Tranche 3</t>
        </is>
      </c>
      <c r="C10" s="48" t="inlineStr">
        <is>
          <t>A definir</t>
        </is>
      </c>
      <c r="D10" s="10" t="n">
        <v>300</v>
      </c>
      <c r="E10" s="21">
        <f>D10/Parametros!$C$22</f>
        <v/>
      </c>
      <c r="F10" s="14" t="n">
        <v>368.4</v>
      </c>
      <c r="G10" s="13" t="n">
        <v>5.2</v>
      </c>
      <c r="H10" s="27">
        <f>F10*G10+Parametros!$C$18</f>
        <v/>
      </c>
      <c r="I10" s="23">
        <f>SUM($D$8:D10)</f>
        <v/>
      </c>
      <c r="J10" s="41">
        <f>IF(I10=0,0,SUMPRODUCT($D$8:D10,$H$8:H10)/I10)</f>
        <v/>
      </c>
    </row>
    <row r="11">
      <c r="B11" s="47" t="inlineStr">
        <is>
          <t>Tranche 4</t>
        </is>
      </c>
      <c r="C11" s="48" t="inlineStr">
        <is>
          <t>A definir</t>
        </is>
      </c>
      <c r="D11" s="10" t="n">
        <v>300</v>
      </c>
      <c r="E11" s="21">
        <f>D11/Parametros!$C$22</f>
        <v/>
      </c>
      <c r="F11" s="14" t="n">
        <v>368.4</v>
      </c>
      <c r="G11" s="13" t="n">
        <v>5.2</v>
      </c>
      <c r="H11" s="27">
        <f>F11*G11+Parametros!$C$18</f>
        <v/>
      </c>
      <c r="I11" s="23">
        <f>SUM($D$8:D11)</f>
        <v/>
      </c>
      <c r="J11" s="41">
        <f>IF(I11=0,0,SUMPRODUCT($D$8:D11,$H$8:H11)/I11)</f>
        <v/>
      </c>
    </row>
    <row r="12">
      <c r="B12" s="47" t="inlineStr">
        <is>
          <t>Tranche 5</t>
        </is>
      </c>
      <c r="C12" s="48" t="inlineStr">
        <is>
          <t>A definir</t>
        </is>
      </c>
      <c r="D12" s="10" t="n">
        <v>0</v>
      </c>
      <c r="E12" s="21">
        <f>D12/Parametros!$C$22</f>
        <v/>
      </c>
      <c r="F12" s="14" t="n">
        <v>368.4</v>
      </c>
      <c r="G12" s="13" t="n">
        <v>5.2</v>
      </c>
      <c r="H12" s="27">
        <f>F12*G12+Parametros!$C$18</f>
        <v/>
      </c>
      <c r="I12" s="23">
        <f>SUM($D$8:D12)</f>
        <v/>
      </c>
      <c r="J12" s="41">
        <f>IF(I12=0,0,SUMPRODUCT($D$8:D12,$H$8:H12)/I12)</f>
        <v/>
      </c>
    </row>
    <row r="13">
      <c r="B13" s="47" t="inlineStr">
        <is>
          <t>Tranche 6</t>
        </is>
      </c>
      <c r="C13" s="48" t="inlineStr">
        <is>
          <t>A definir</t>
        </is>
      </c>
      <c r="D13" s="10" t="n">
        <v>0</v>
      </c>
      <c r="E13" s="21">
        <f>D13/Parametros!$C$22</f>
        <v/>
      </c>
      <c r="F13" s="14" t="n">
        <v>368.4</v>
      </c>
      <c r="G13" s="13" t="n">
        <v>5.2</v>
      </c>
      <c r="H13" s="27">
        <f>F13*G13+Parametros!$C$18</f>
        <v/>
      </c>
      <c r="I13" s="23">
        <f>SUM($D$8:D13)</f>
        <v/>
      </c>
      <c r="J13" s="41">
        <f>IF(I13=0,0,SUMPRODUCT($D$8:D13,$H$8:H13)/I13)</f>
        <v/>
      </c>
    </row>
    <row r="14">
      <c r="B14" s="44" t="inlineStr">
        <is>
          <t>TOTAL</t>
        </is>
      </c>
      <c r="D14" s="49">
        <f>SUM(D8:D13)</f>
        <v/>
      </c>
      <c r="E14" s="50">
        <f>SUM(E8:E13)</f>
        <v/>
      </c>
      <c r="H14" s="41">
        <f>IF(D14=0,0,SUMPRODUCT(D8:D13,H8:H13)/D14)</f>
        <v/>
      </c>
      <c r="I14" s="11" t="inlineStr">
        <is>
          <t>&lt;- preco medio travado do programa</t>
        </is>
      </c>
    </row>
    <row r="16">
      <c r="B16" s="3" t="inlineStr">
        <is>
          <t>Diagnostico do programa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6" customHeight="1">
      <c r="B17" s="6" t="inlineStr">
        <is>
          <t>Volume anual do cliente</t>
        </is>
      </c>
      <c r="E17" s="49">
        <f>Parametros!C6</f>
        <v/>
      </c>
      <c r="F17" s="11" t="inlineStr">
        <is>
          <t>Referencia de quanto ha para travar no ano.</t>
        </is>
      </c>
    </row>
    <row r="18" ht="26" customHeight="1">
      <c r="B18" s="6" t="inlineStr">
        <is>
          <t>% do volume anual ja travado</t>
        </is>
      </c>
      <c r="E18" s="38">
        <f>IF(Parametros!C6=0,0,D14/Parametros!C6)</f>
        <v/>
      </c>
      <c r="F18" s="11" t="inlineStr">
        <is>
          <t>Nao passe de 100%: travar mais do que se tem deixa de ser hedge e passa a ser posicao.</t>
        </is>
      </c>
    </row>
    <row r="19" ht="26" customHeight="1">
      <c r="B19" s="6" t="inlineStr">
        <is>
          <t>Preco medio travado (R$/saca)</t>
        </is>
      </c>
      <c r="E19" s="17">
        <f>H14</f>
        <v/>
      </c>
      <c r="F19" s="11" t="inlineStr">
        <is>
          <t>Media ponderada por sacas de todas as tranches.</t>
        </is>
      </c>
    </row>
    <row r="20" ht="26" customHeight="1">
      <c r="B20" s="6" t="inlineStr">
        <is>
          <t>Custo de compra + carrego (R$/saca)</t>
        </is>
      </c>
      <c r="E20" s="17">
        <f>Parametros!C8+Parametros!C10*Parametros!C9</f>
        <v/>
      </c>
      <c r="F20" s="11" t="inlineStr">
        <is>
          <t>Base de comparacao.</t>
        </is>
      </c>
    </row>
    <row r="21" ht="26" customHeight="1">
      <c r="B21" s="6" t="inlineStr">
        <is>
          <t>Margem travada (R$/saca)</t>
        </is>
      </c>
      <c r="E21" s="17">
        <f>H14-Parametros!C8-Parametros!C10*Parametros!C9</f>
        <v/>
      </c>
      <c r="F21" s="11" t="inlineStr">
        <is>
          <t>Se positivo, o programa ja garantiu lucro. Se negativo, esta travando prejuizo - revise antes de executar.</t>
        </is>
      </c>
    </row>
    <row r="22" ht="26" customHeight="1">
      <c r="B22" s="6" t="inlineStr">
        <is>
          <t>Margem travada total (R$)</t>
        </is>
      </c>
      <c r="E22" s="37">
        <f>(H14-Parametros!C8-Parametros!C10*Parametros!C9)*D14</f>
        <v/>
      </c>
      <c r="F22" s="11" t="inlineStr">
        <is>
          <t>Resultado em reais que o programa carimba, independente do que o cafe fizer.</t>
        </is>
      </c>
    </row>
    <row r="23" ht="26" customHeight="1">
      <c r="B23" s="6" t="inlineStr">
        <is>
          <t>Sacas ainda descobertas no ano</t>
        </is>
      </c>
      <c r="E23" s="49">
        <f>Parametros!C6-D14</f>
        <v/>
      </c>
      <c r="F23" s="11" t="inlineStr">
        <is>
          <t>O que continua exposto ao preco.</t>
        </is>
      </c>
    </row>
    <row r="25" ht="32" customHeight="1">
      <c r="B25" s="11" t="inlineStr">
        <is>
          <t>Regra pratica: divida o volume em 4 a 6 tranches, defina os gatilhos ANTES (preco alvo, data limite, ou margem minima aceita) e registre cada execucao aqui. Gatilho escrito antes evita a pior conversa do hedge: explicar depois por que nao travou.</t>
        </is>
      </c>
    </row>
  </sheetData>
  <mergeCells count="16">
    <mergeCell ref="F17:J17"/>
    <mergeCell ref="B25:J25"/>
    <mergeCell ref="B19:D19"/>
    <mergeCell ref="F21:J21"/>
    <mergeCell ref="B23:D23"/>
    <mergeCell ref="F20:J20"/>
    <mergeCell ref="B22:D22"/>
    <mergeCell ref="F23:J23"/>
    <mergeCell ref="B17:D17"/>
    <mergeCell ref="B18:D18"/>
    <mergeCell ref="F19:J19"/>
    <mergeCell ref="F18:J18"/>
    <mergeCell ref="B21:D21"/>
    <mergeCell ref="I14:J14"/>
    <mergeCell ref="F22:J22"/>
    <mergeCell ref="B20:D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2" customWidth="1" min="3" max="3"/>
    <col width="11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4" customWidth="1" min="13" max="13"/>
  </cols>
  <sheetData>
    <row r="2">
      <c r="B2" s="1" t="inlineStr">
        <is>
          <t>Breakeven das opcoes - a partir de que preco a protecao paga</t>
        </is>
      </c>
    </row>
    <row r="3" ht="28" customHeight="1">
      <c r="B3" s="2" t="inlineStr">
        <is>
          <t>Responde: qual strike vale mais a pena, e a partir de que ICF a estrutura comeca a pagar. Todas as opcoes calculadas para a razao de hedge de 100%, para comparar limpo.</t>
        </is>
      </c>
    </row>
    <row r="5">
      <c r="B5" s="3" t="inlineStr">
        <is>
          <t>Referencias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B6" s="6" t="inlineStr">
        <is>
          <t>ICF - futuro (US$/saca)</t>
        </is>
      </c>
      <c r="D6" s="29">
        <f>Parametros!C13</f>
        <v/>
      </c>
      <c r="F6" s="5" t="inlineStr">
        <is>
          <t>MARGEM COMERCIAL HOJE (R$/saca)</t>
        </is>
      </c>
      <c r="J6" s="41">
        <f>$D$6*$D$10+$D$12-$D$11</f>
        <v/>
      </c>
    </row>
    <row r="7">
      <c r="B7" s="6" t="inlineStr">
        <is>
          <t>Volatilidade implicita</t>
        </is>
      </c>
      <c r="D7" s="20">
        <f>Parametros!C28</f>
        <v/>
      </c>
      <c r="F7" s="5" t="inlineStr">
        <is>
          <t>Preco de equilibrio do negocio (ICF que zera a margem)</t>
        </is>
      </c>
      <c r="J7" s="51">
        <f>($D$11-$D$12)/$D$10</f>
        <v/>
      </c>
    </row>
    <row r="8" ht="26" customHeight="1">
      <c r="B8" s="6" t="inlineStr">
        <is>
          <t>Prazo (anos)</t>
        </is>
      </c>
      <c r="D8" s="30">
        <f>Parametros!C29</f>
        <v/>
      </c>
      <c r="F8" s="5" t="inlineStr">
        <is>
          <t>Queda que ja zera o lucro dele</t>
        </is>
      </c>
      <c r="J8" s="52">
        <f>IF($D$6=0,0,$J$7/$D$6-1)</f>
        <v/>
      </c>
      <c r="K8" s="11" t="inlineStr">
        <is>
          <t>&lt;- este e o numero mais importante da aba: define de quanta queda ele precisa se proteger de verdade.</t>
        </is>
      </c>
    </row>
    <row r="9">
      <c r="B9" s="6" t="inlineStr">
        <is>
          <t>Juros (a.a.)</t>
        </is>
      </c>
      <c r="D9" s="39">
        <f>Parametros!C30</f>
        <v/>
      </c>
    </row>
    <row r="10">
      <c r="B10" s="6" t="inlineStr">
        <is>
          <t>Cambio no vencimento</t>
        </is>
      </c>
      <c r="D10" s="30">
        <f>Parametros!C16</f>
        <v/>
      </c>
    </row>
    <row r="11">
      <c r="B11" s="6" t="inlineStr">
        <is>
          <t>Custo de compra + carrego (R$/saca)</t>
        </is>
      </c>
      <c r="D11" s="31">
        <f>Parametros!C8+Parametros!C10*Parametros!C9</f>
        <v/>
      </c>
    </row>
    <row r="12">
      <c r="B12" s="6" t="inlineStr">
        <is>
          <t>Basis de venda (R$/saca)</t>
        </is>
      </c>
      <c r="D12" s="31">
        <f>Parametros!C18</f>
        <v/>
      </c>
    </row>
    <row r="14">
      <c r="B14" s="3" t="inlineStr">
        <is>
          <t>A) PUTS - comprar seguro contra queda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 ht="48" customHeight="1">
      <c r="B15" s="33" t="inlineStr">
        <is>
          <t>% do
futuro</t>
        </is>
      </c>
      <c r="C15" s="33" t="inlineStr">
        <is>
          <t>Strike
(US$)</t>
        </is>
      </c>
      <c r="D15" s="33" t="inlineStr">
        <is>
          <t>Premio
(US$)</t>
        </is>
      </c>
      <c r="E15" s="33" t="inlineStr">
        <is>
          <t>Premio
(R$/saca)</t>
        </is>
      </c>
      <c r="F15" s="33" t="inlineStr">
        <is>
          <t>% da
margem</t>
        </is>
      </c>
      <c r="G15" s="33" t="inlineStr">
        <is>
          <t>Paga a
partir de
(US$)</t>
        </is>
      </c>
      <c r="H15" s="33" t="inlineStr">
        <is>
          <t>Breakeven
(US$)</t>
        </is>
      </c>
      <c r="I15" s="33" t="inlineStr">
        <is>
          <t>Queda ate o
breakeven</t>
        </is>
      </c>
      <c r="J15" s="33" t="inlineStr">
        <is>
          <t>PISO de
margem
(R$/saca)</t>
        </is>
      </c>
      <c r="K15" s="33" t="inlineStr">
        <is>
          <t>Delta</t>
        </is>
      </c>
      <c r="L15" s="33" t="inlineStr">
        <is>
          <t>Veredito</t>
        </is>
      </c>
    </row>
    <row r="16">
      <c r="B16" s="15" t="n">
        <v>0.87</v>
      </c>
      <c r="C16" s="35">
        <f>ROUND($D$6*B16/5,0)*5</f>
        <v/>
      </c>
      <c r="D16" s="35">
        <f>EXP(-$D$9*$D$8)*(C16*NORMSDIST(-(((LN($D$6/C16)+0.5*$D$7^2*$D$8)/($D$7*SQRT($D$8)))-($D$7*SQRT($D$8))))-$D$6*NORMSDIST(-((LN($D$6/C16)+0.5*$D$7^2*$D$8)/($D$7*SQRT($D$8)))))</f>
        <v/>
      </c>
      <c r="E16" s="27">
        <f>D16*$D$10</f>
        <v/>
      </c>
      <c r="F16" s="24">
        <f>IF($J$6&lt;=0,"",E16/$J$6)</f>
        <v/>
      </c>
      <c r="G16" s="35">
        <f>C16</f>
        <v/>
      </c>
      <c r="H16" s="40">
        <f>C16-D16</f>
        <v/>
      </c>
      <c r="I16" s="38">
        <f>IF($D$6=0,0,H16/$D$6-1)</f>
        <v/>
      </c>
      <c r="J16" s="41">
        <f>C16*$D$10+$D$12-$D$11-E16</f>
        <v/>
      </c>
      <c r="K16" s="21">
        <f>-EXP(-$D$9*$D$8)*NORMSDIST(-((LN($D$6/C16)+0.5*$D$7^2*$D$8)/($D$7*SQRT($D$8))))</f>
        <v/>
      </c>
      <c r="L16" s="47">
        <f>IF(J16&gt;0,"Piso POSITIVO - protege o lucro",IF(F16&gt;1,"INVIAVEL - premio maior que a margem",IF(F16&gt;0.5,"Caro - come mais de metade da margem","Piso negativo, mas premio suportavel")))</f>
        <v/>
      </c>
      <c r="M16" s="46" t="n"/>
    </row>
    <row r="17">
      <c r="B17" s="15" t="n">
        <v>0.9</v>
      </c>
      <c r="C17" s="35">
        <f>ROUND($D$6*B17/5,0)*5</f>
        <v/>
      </c>
      <c r="D17" s="35">
        <f>EXP(-$D$9*$D$8)*(C17*NORMSDIST(-(((LN($D$6/C17)+0.5*$D$7^2*$D$8)/($D$7*SQRT($D$8)))-($D$7*SQRT($D$8))))-$D$6*NORMSDIST(-((LN($D$6/C17)+0.5*$D$7^2*$D$8)/($D$7*SQRT($D$8)))))</f>
        <v/>
      </c>
      <c r="E17" s="27">
        <f>D17*$D$10</f>
        <v/>
      </c>
      <c r="F17" s="24">
        <f>IF($J$6&lt;=0,"",E17/$J$6)</f>
        <v/>
      </c>
      <c r="G17" s="35">
        <f>C17</f>
        <v/>
      </c>
      <c r="H17" s="40">
        <f>C17-D17</f>
        <v/>
      </c>
      <c r="I17" s="38">
        <f>IF($D$6=0,0,H17/$D$6-1)</f>
        <v/>
      </c>
      <c r="J17" s="41">
        <f>C17*$D$10+$D$12-$D$11-E17</f>
        <v/>
      </c>
      <c r="K17" s="21">
        <f>-EXP(-$D$9*$D$8)*NORMSDIST(-((LN($D$6/C17)+0.5*$D$7^2*$D$8)/($D$7*SQRT($D$8))))</f>
        <v/>
      </c>
      <c r="L17" s="47">
        <f>IF(J17&gt;0,"Piso POSITIVO - protege o lucro",IF(F17&gt;1,"INVIAVEL - premio maior que a margem",IF(F17&gt;0.5,"Caro - come mais de metade da margem","Piso negativo, mas premio suportavel")))</f>
        <v/>
      </c>
      <c r="M17" s="46" t="n"/>
    </row>
    <row r="18">
      <c r="B18" s="15" t="n">
        <v>0.92</v>
      </c>
      <c r="C18" s="35">
        <f>ROUND($D$6*B18/5,0)*5</f>
        <v/>
      </c>
      <c r="D18" s="35">
        <f>EXP(-$D$9*$D$8)*(C18*NORMSDIST(-(((LN($D$6/C18)+0.5*$D$7^2*$D$8)/($D$7*SQRT($D$8)))-($D$7*SQRT($D$8))))-$D$6*NORMSDIST(-((LN($D$6/C18)+0.5*$D$7^2*$D$8)/($D$7*SQRT($D$8)))))</f>
        <v/>
      </c>
      <c r="E18" s="27">
        <f>D18*$D$10</f>
        <v/>
      </c>
      <c r="F18" s="24">
        <f>IF($J$6&lt;=0,"",E18/$J$6)</f>
        <v/>
      </c>
      <c r="G18" s="35">
        <f>C18</f>
        <v/>
      </c>
      <c r="H18" s="40">
        <f>C18-D18</f>
        <v/>
      </c>
      <c r="I18" s="38">
        <f>IF($D$6=0,0,H18/$D$6-1)</f>
        <v/>
      </c>
      <c r="J18" s="41">
        <f>C18*$D$10+$D$12-$D$11-E18</f>
        <v/>
      </c>
      <c r="K18" s="21">
        <f>-EXP(-$D$9*$D$8)*NORMSDIST(-((LN($D$6/C18)+0.5*$D$7^2*$D$8)/($D$7*SQRT($D$8))))</f>
        <v/>
      </c>
      <c r="L18" s="47">
        <f>IF(J18&gt;0,"Piso POSITIVO - protege o lucro",IF(F18&gt;1,"INVIAVEL - premio maior que a margem",IF(F18&gt;0.5,"Caro - come mais de metade da margem","Piso negativo, mas premio suportavel")))</f>
        <v/>
      </c>
      <c r="M18" s="46" t="n"/>
    </row>
    <row r="19">
      <c r="B19" s="15" t="n">
        <v>0.95</v>
      </c>
      <c r="C19" s="35">
        <f>ROUND($D$6*B19/5,0)*5</f>
        <v/>
      </c>
      <c r="D19" s="35">
        <f>EXP(-$D$9*$D$8)*(C19*NORMSDIST(-(((LN($D$6/C19)+0.5*$D$7^2*$D$8)/($D$7*SQRT($D$8)))-($D$7*SQRT($D$8))))-$D$6*NORMSDIST(-((LN($D$6/C19)+0.5*$D$7^2*$D$8)/($D$7*SQRT($D$8)))))</f>
        <v/>
      </c>
      <c r="E19" s="27">
        <f>D19*$D$10</f>
        <v/>
      </c>
      <c r="F19" s="24">
        <f>IF($J$6&lt;=0,"",E19/$J$6)</f>
        <v/>
      </c>
      <c r="G19" s="35">
        <f>C19</f>
        <v/>
      </c>
      <c r="H19" s="40">
        <f>C19-D19</f>
        <v/>
      </c>
      <c r="I19" s="38">
        <f>IF($D$6=0,0,H19/$D$6-1)</f>
        <v/>
      </c>
      <c r="J19" s="41">
        <f>C19*$D$10+$D$12-$D$11-E19</f>
        <v/>
      </c>
      <c r="K19" s="21">
        <f>-EXP(-$D$9*$D$8)*NORMSDIST(-((LN($D$6/C19)+0.5*$D$7^2*$D$8)/($D$7*SQRT($D$8))))</f>
        <v/>
      </c>
      <c r="L19" s="47">
        <f>IF(J19&gt;0,"Piso POSITIVO - protege o lucro",IF(F19&gt;1,"INVIAVEL - premio maior que a margem",IF(F19&gt;0.5,"Caro - come mais de metade da margem","Piso negativo, mas premio suportavel")))</f>
        <v/>
      </c>
      <c r="M19" s="46" t="n"/>
    </row>
    <row r="20">
      <c r="B20" s="15" t="n">
        <v>0.98</v>
      </c>
      <c r="C20" s="35">
        <f>ROUND($D$6*B20/5,0)*5</f>
        <v/>
      </c>
      <c r="D20" s="35">
        <f>EXP(-$D$9*$D$8)*(C20*NORMSDIST(-(((LN($D$6/C20)+0.5*$D$7^2*$D$8)/($D$7*SQRT($D$8)))-($D$7*SQRT($D$8))))-$D$6*NORMSDIST(-((LN($D$6/C20)+0.5*$D$7^2*$D$8)/($D$7*SQRT($D$8)))))</f>
        <v/>
      </c>
      <c r="E20" s="27">
        <f>D20*$D$10</f>
        <v/>
      </c>
      <c r="F20" s="24">
        <f>IF($J$6&lt;=0,"",E20/$J$6)</f>
        <v/>
      </c>
      <c r="G20" s="35">
        <f>C20</f>
        <v/>
      </c>
      <c r="H20" s="40">
        <f>C20-D20</f>
        <v/>
      </c>
      <c r="I20" s="38">
        <f>IF($D$6=0,0,H20/$D$6-1)</f>
        <v/>
      </c>
      <c r="J20" s="41">
        <f>C20*$D$10+$D$12-$D$11-E20</f>
        <v/>
      </c>
      <c r="K20" s="21">
        <f>-EXP(-$D$9*$D$8)*NORMSDIST(-((LN($D$6/C20)+0.5*$D$7^2*$D$8)/($D$7*SQRT($D$8))))</f>
        <v/>
      </c>
      <c r="L20" s="47">
        <f>IF(J20&gt;0,"Piso POSITIVO - protege o lucro",IF(F20&gt;1,"INVIAVEL - premio maior que a margem",IF(F20&gt;0.5,"Caro - come mais de metade da margem","Piso negativo, mas premio suportavel")))</f>
        <v/>
      </c>
      <c r="M20" s="46" t="n"/>
    </row>
    <row r="21">
      <c r="B21" s="15" t="n">
        <v>1</v>
      </c>
      <c r="C21" s="35">
        <f>ROUND($D$6*B21/5,0)*5</f>
        <v/>
      </c>
      <c r="D21" s="35">
        <f>EXP(-$D$9*$D$8)*(C21*NORMSDIST(-(((LN($D$6/C21)+0.5*$D$7^2*$D$8)/($D$7*SQRT($D$8)))-($D$7*SQRT($D$8))))-$D$6*NORMSDIST(-((LN($D$6/C21)+0.5*$D$7^2*$D$8)/($D$7*SQRT($D$8)))))</f>
        <v/>
      </c>
      <c r="E21" s="27">
        <f>D21*$D$10</f>
        <v/>
      </c>
      <c r="F21" s="24">
        <f>IF($J$6&lt;=0,"",E21/$J$6)</f>
        <v/>
      </c>
      <c r="G21" s="35">
        <f>C21</f>
        <v/>
      </c>
      <c r="H21" s="40">
        <f>C21-D21</f>
        <v/>
      </c>
      <c r="I21" s="38">
        <f>IF($D$6=0,0,H21/$D$6-1)</f>
        <v/>
      </c>
      <c r="J21" s="41">
        <f>C21*$D$10+$D$12-$D$11-E21</f>
        <v/>
      </c>
      <c r="K21" s="21">
        <f>-EXP(-$D$9*$D$8)*NORMSDIST(-((LN($D$6/C21)+0.5*$D$7^2*$D$8)/($D$7*SQRT($D$8))))</f>
        <v/>
      </c>
      <c r="L21" s="47">
        <f>IF(J21&gt;0,"Piso POSITIVO - protege o lucro",IF(F21&gt;1,"INVIAVEL - premio maior que a margem",IF(F21&gt;0.5,"Caro - come mais de metade da margem","Piso negativo, mas premio suportavel")))</f>
        <v/>
      </c>
      <c r="M21" s="46" t="n"/>
    </row>
    <row r="22">
      <c r="B22" s="15" t="n">
        <v>1.02</v>
      </c>
      <c r="C22" s="35">
        <f>ROUND($D$6*B22/5,0)*5</f>
        <v/>
      </c>
      <c r="D22" s="35">
        <f>EXP(-$D$9*$D$8)*(C22*NORMSDIST(-(((LN($D$6/C22)+0.5*$D$7^2*$D$8)/($D$7*SQRT($D$8)))-($D$7*SQRT($D$8))))-$D$6*NORMSDIST(-((LN($D$6/C22)+0.5*$D$7^2*$D$8)/($D$7*SQRT($D$8)))))</f>
        <v/>
      </c>
      <c r="E22" s="27">
        <f>D22*$D$10</f>
        <v/>
      </c>
      <c r="F22" s="24">
        <f>IF($J$6&lt;=0,"",E22/$J$6)</f>
        <v/>
      </c>
      <c r="G22" s="35">
        <f>C22</f>
        <v/>
      </c>
      <c r="H22" s="40">
        <f>C22-D22</f>
        <v/>
      </c>
      <c r="I22" s="38">
        <f>IF($D$6=0,0,H22/$D$6-1)</f>
        <v/>
      </c>
      <c r="J22" s="41">
        <f>C22*$D$10+$D$12-$D$11-E22</f>
        <v/>
      </c>
      <c r="K22" s="21">
        <f>-EXP(-$D$9*$D$8)*NORMSDIST(-((LN($D$6/C22)+0.5*$D$7^2*$D$8)/($D$7*SQRT($D$8))))</f>
        <v/>
      </c>
      <c r="L22" s="47">
        <f>IF(J22&gt;0,"Piso POSITIVO - protege o lucro",IF(F22&gt;1,"INVIAVEL - premio maior que a margem",IF(F22&gt;0.5,"Caro - come mais de metade da margem","Piso negativo, mas premio suportavel")))</f>
        <v/>
      </c>
      <c r="M22" s="46" t="n"/>
    </row>
    <row r="23">
      <c r="B23" s="15" t="n">
        <v>1.05</v>
      </c>
      <c r="C23" s="35">
        <f>ROUND($D$6*B23/5,0)*5</f>
        <v/>
      </c>
      <c r="D23" s="35">
        <f>EXP(-$D$9*$D$8)*(C23*NORMSDIST(-(((LN($D$6/C23)+0.5*$D$7^2*$D$8)/($D$7*SQRT($D$8)))-($D$7*SQRT($D$8))))-$D$6*NORMSDIST(-((LN($D$6/C23)+0.5*$D$7^2*$D$8)/($D$7*SQRT($D$8)))))</f>
        <v/>
      </c>
      <c r="E23" s="27">
        <f>D23*$D$10</f>
        <v/>
      </c>
      <c r="F23" s="24">
        <f>IF($J$6&lt;=0,"",E23/$J$6)</f>
        <v/>
      </c>
      <c r="G23" s="35">
        <f>C23</f>
        <v/>
      </c>
      <c r="H23" s="40">
        <f>C23-D23</f>
        <v/>
      </c>
      <c r="I23" s="38">
        <f>IF($D$6=0,0,H23/$D$6-1)</f>
        <v/>
      </c>
      <c r="J23" s="41">
        <f>C23*$D$10+$D$12-$D$11-E23</f>
        <v/>
      </c>
      <c r="K23" s="21">
        <f>-EXP(-$D$9*$D$8)*NORMSDIST(-((LN($D$6/C23)+0.5*$D$7^2*$D$8)/($D$7*SQRT($D$8))))</f>
        <v/>
      </c>
      <c r="L23" s="47">
        <f>IF(J23&gt;0,"Piso POSITIVO - protege o lucro",IF(F23&gt;1,"INVIAVEL - premio maior que a margem",IF(F23&gt;0.5,"Caro - come mais de metade da margem","Piso negativo, mas premio suportavel")))</f>
        <v/>
      </c>
      <c r="M23" s="46" t="n"/>
    </row>
    <row r="24">
      <c r="B24" s="15" t="n">
        <v>1.07</v>
      </c>
      <c r="C24" s="35">
        <f>ROUND($D$6*B24/5,0)*5</f>
        <v/>
      </c>
      <c r="D24" s="35">
        <f>EXP(-$D$9*$D$8)*(C24*NORMSDIST(-(((LN($D$6/C24)+0.5*$D$7^2*$D$8)/($D$7*SQRT($D$8)))-($D$7*SQRT($D$8))))-$D$6*NORMSDIST(-((LN($D$6/C24)+0.5*$D$7^2*$D$8)/($D$7*SQRT($D$8)))))</f>
        <v/>
      </c>
      <c r="E24" s="27">
        <f>D24*$D$10</f>
        <v/>
      </c>
      <c r="F24" s="24">
        <f>IF($J$6&lt;=0,"",E24/$J$6)</f>
        <v/>
      </c>
      <c r="G24" s="35">
        <f>C24</f>
        <v/>
      </c>
      <c r="H24" s="40">
        <f>C24-D24</f>
        <v/>
      </c>
      <c r="I24" s="38">
        <f>IF($D$6=0,0,H24/$D$6-1)</f>
        <v/>
      </c>
      <c r="J24" s="41">
        <f>C24*$D$10+$D$12-$D$11-E24</f>
        <v/>
      </c>
      <c r="K24" s="21">
        <f>-EXP(-$D$9*$D$8)*NORMSDIST(-((LN($D$6/C24)+0.5*$D$7^2*$D$8)/($D$7*SQRT($D$8))))</f>
        <v/>
      </c>
      <c r="L24" s="47">
        <f>IF(J24&gt;0,"Piso POSITIVO - protege o lucro",IF(F24&gt;1,"INVIAVEL - premio maior que a margem",IF(F24&gt;0.5,"Caro - come mais de metade da margem","Piso negativo, mas premio suportavel")))</f>
        <v/>
      </c>
      <c r="M24" s="46" t="n"/>
    </row>
    <row r="26" ht="28" customHeight="1">
      <c r="B26" s="11" t="inlineStr">
        <is>
          <t>Leitura: 'Paga a partir de' = onde a put comeca a ter valor de exercicio. 'Breakeven' = onde ela ja cobriu o premio. 'PISO de margem' negativo significa que a put limita o prejuizo, mas nao salva o lucro.</t>
        </is>
      </c>
    </row>
    <row r="28">
      <c r="B28" s="3" t="inlineStr">
        <is>
          <t>B) COLLARS - put comprada financiada pela call vendida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 ht="48" customHeight="1">
      <c r="B29" s="33" t="inlineStr">
        <is>
          <t>% put</t>
        </is>
      </c>
      <c r="C29" s="33" t="inlineStr">
        <is>
          <t>Strike
put (US$)</t>
        </is>
      </c>
      <c r="D29" s="33" t="inlineStr">
        <is>
          <t>% call</t>
        </is>
      </c>
      <c r="E29" s="33" t="inlineStr">
        <is>
          <t>Strike
call (US$)</t>
        </is>
      </c>
      <c r="F29" s="33" t="inlineStr">
        <is>
          <t>Premio put
(US$)</t>
        </is>
      </c>
      <c r="G29" s="33" t="inlineStr">
        <is>
          <t>Premio call
(US$)</t>
        </is>
      </c>
      <c r="H29" s="33" t="inlineStr">
        <is>
          <t>Custo liq.
(R$/saca)</t>
        </is>
      </c>
      <c r="I29" s="33" t="inlineStr">
        <is>
          <t>% da
margem</t>
        </is>
      </c>
      <c r="J29" s="33" t="inlineStr">
        <is>
          <t>Breakeven
(US$)</t>
        </is>
      </c>
      <c r="K29" s="33" t="inlineStr">
        <is>
          <t>PISO de
margem
(R$/saca)</t>
        </is>
      </c>
      <c r="L29" s="33" t="inlineStr">
        <is>
          <t>TETO de
margem
(R$/saca)</t>
        </is>
      </c>
      <c r="M29" s="33" t="inlineStr">
        <is>
          <t>Veredito</t>
        </is>
      </c>
    </row>
    <row r="30">
      <c r="B30" s="15" t="n">
        <v>0.95</v>
      </c>
      <c r="C30" s="35">
        <f>ROUND($D$6*B30/5,0)*5</f>
        <v/>
      </c>
      <c r="D30" s="15" t="n">
        <v>1.05</v>
      </c>
      <c r="E30" s="35">
        <f>ROUND($D$6*D30/5,0)*5</f>
        <v/>
      </c>
      <c r="F30" s="35">
        <f>EXP(-$D$9*$D$8)*(C30*NORMSDIST(-(((LN($D$6/C30)+0.5*$D$7^2*$D$8)/($D$7*SQRT($D$8)))-($D$7*SQRT($D$8))))-$D$6*NORMSDIST(-((LN($D$6/C30)+0.5*$D$7^2*$D$8)/($D$7*SQRT($D$8)))))</f>
        <v/>
      </c>
      <c r="G30" s="35">
        <f>EXP(-$D$9*$D$8)*($D$6*NORMSDIST(((LN($D$6/E30)+0.5*$D$7^2*$D$8)/($D$7*SQRT($D$8))))-E30*NORMSDIST((((LN($D$6/E30)+0.5*$D$7^2*$D$8)/($D$7*SQRT($D$8)))-($D$7*SQRT($D$8)))))</f>
        <v/>
      </c>
      <c r="H30" s="17">
        <f>(F30-G30)*$D$10</f>
        <v/>
      </c>
      <c r="I30" s="24">
        <f>IF($J$6&lt;=0,"",H30/$J$6)</f>
        <v/>
      </c>
      <c r="J30" s="35">
        <f>C30-(F30-G30)</f>
        <v/>
      </c>
      <c r="K30" s="41">
        <f>C30*$D$10+$D$12-$D$11-H30</f>
        <v/>
      </c>
      <c r="L30" s="27">
        <f>E30*$D$10+$D$12-$D$11-H30</f>
        <v/>
      </c>
      <c r="M30" s="47">
        <f>IF(AND(K30&gt;0,H30&lt;=0),"OTIMO - piso positivo e entra com credito",IF(K30&gt;0,"BOM - piso positivo (margem garantida)",IF(H30&lt;=0,"Entra com credito, mas piso negativo","Piso negativo - avaliar")))</f>
        <v/>
      </c>
    </row>
    <row r="31">
      <c r="B31" s="15" t="n">
        <v>0.95</v>
      </c>
      <c r="C31" s="35">
        <f>ROUND($D$6*B31/5,0)*5</f>
        <v/>
      </c>
      <c r="D31" s="15" t="n">
        <v>1.07</v>
      </c>
      <c r="E31" s="35">
        <f>ROUND($D$6*D31/5,0)*5</f>
        <v/>
      </c>
      <c r="F31" s="35">
        <f>EXP(-$D$9*$D$8)*(C31*NORMSDIST(-(((LN($D$6/C31)+0.5*$D$7^2*$D$8)/($D$7*SQRT($D$8)))-($D$7*SQRT($D$8))))-$D$6*NORMSDIST(-((LN($D$6/C31)+0.5*$D$7^2*$D$8)/($D$7*SQRT($D$8)))))</f>
        <v/>
      </c>
      <c r="G31" s="35">
        <f>EXP(-$D$9*$D$8)*($D$6*NORMSDIST(((LN($D$6/E31)+0.5*$D$7^2*$D$8)/($D$7*SQRT($D$8))))-E31*NORMSDIST((((LN($D$6/E31)+0.5*$D$7^2*$D$8)/($D$7*SQRT($D$8)))-($D$7*SQRT($D$8)))))</f>
        <v/>
      </c>
      <c r="H31" s="17">
        <f>(F31-G31)*$D$10</f>
        <v/>
      </c>
      <c r="I31" s="24">
        <f>IF($J$6&lt;=0,"",H31/$J$6)</f>
        <v/>
      </c>
      <c r="J31" s="35">
        <f>C31-(F31-G31)</f>
        <v/>
      </c>
      <c r="K31" s="41">
        <f>C31*$D$10+$D$12-$D$11-H31</f>
        <v/>
      </c>
      <c r="L31" s="27">
        <f>E31*$D$10+$D$12-$D$11-H31</f>
        <v/>
      </c>
      <c r="M31" s="47">
        <f>IF(AND(K31&gt;0,H31&lt;=0),"OTIMO - piso positivo e entra com credito",IF(K31&gt;0,"BOM - piso positivo (margem garantida)",IF(H31&lt;=0,"Entra com credito, mas piso negativo","Piso negativo - avaliar")))</f>
        <v/>
      </c>
    </row>
    <row r="32">
      <c r="B32" s="15" t="n">
        <v>0.95</v>
      </c>
      <c r="C32" s="35">
        <f>ROUND($D$6*B32/5,0)*5</f>
        <v/>
      </c>
      <c r="D32" s="15" t="n">
        <v>1.1</v>
      </c>
      <c r="E32" s="35">
        <f>ROUND($D$6*D32/5,0)*5</f>
        <v/>
      </c>
      <c r="F32" s="35">
        <f>EXP(-$D$9*$D$8)*(C32*NORMSDIST(-(((LN($D$6/C32)+0.5*$D$7^2*$D$8)/($D$7*SQRT($D$8)))-($D$7*SQRT($D$8))))-$D$6*NORMSDIST(-((LN($D$6/C32)+0.5*$D$7^2*$D$8)/($D$7*SQRT($D$8)))))</f>
        <v/>
      </c>
      <c r="G32" s="35">
        <f>EXP(-$D$9*$D$8)*($D$6*NORMSDIST(((LN($D$6/E32)+0.5*$D$7^2*$D$8)/($D$7*SQRT($D$8))))-E32*NORMSDIST((((LN($D$6/E32)+0.5*$D$7^2*$D$8)/($D$7*SQRT($D$8)))-($D$7*SQRT($D$8)))))</f>
        <v/>
      </c>
      <c r="H32" s="17">
        <f>(F32-G32)*$D$10</f>
        <v/>
      </c>
      <c r="I32" s="24">
        <f>IF($J$6&lt;=0,"",H32/$J$6)</f>
        <v/>
      </c>
      <c r="J32" s="35">
        <f>C32-(F32-G32)</f>
        <v/>
      </c>
      <c r="K32" s="41">
        <f>C32*$D$10+$D$12-$D$11-H32</f>
        <v/>
      </c>
      <c r="L32" s="27">
        <f>E32*$D$10+$D$12-$D$11-H32</f>
        <v/>
      </c>
      <c r="M32" s="47">
        <f>IF(AND(K32&gt;0,H32&lt;=0),"OTIMO - piso positivo e entra com credito",IF(K32&gt;0,"BOM - piso positivo (margem garantida)",IF(H32&lt;=0,"Entra com credito, mas piso negativo","Piso negativo - avaliar")))</f>
        <v/>
      </c>
    </row>
    <row r="33">
      <c r="B33" s="15" t="n">
        <v>0.95</v>
      </c>
      <c r="C33" s="35">
        <f>ROUND($D$6*B33/5,0)*5</f>
        <v/>
      </c>
      <c r="D33" s="15" t="n">
        <v>1.14</v>
      </c>
      <c r="E33" s="35">
        <f>ROUND($D$6*D33/5,0)*5</f>
        <v/>
      </c>
      <c r="F33" s="35">
        <f>EXP(-$D$9*$D$8)*(C33*NORMSDIST(-(((LN($D$6/C33)+0.5*$D$7^2*$D$8)/($D$7*SQRT($D$8)))-($D$7*SQRT($D$8))))-$D$6*NORMSDIST(-((LN($D$6/C33)+0.5*$D$7^2*$D$8)/($D$7*SQRT($D$8)))))</f>
        <v/>
      </c>
      <c r="G33" s="35">
        <f>EXP(-$D$9*$D$8)*($D$6*NORMSDIST(((LN($D$6/E33)+0.5*$D$7^2*$D$8)/($D$7*SQRT($D$8))))-E33*NORMSDIST((((LN($D$6/E33)+0.5*$D$7^2*$D$8)/($D$7*SQRT($D$8)))-($D$7*SQRT($D$8)))))</f>
        <v/>
      </c>
      <c r="H33" s="17">
        <f>(F33-G33)*$D$10</f>
        <v/>
      </c>
      <c r="I33" s="24">
        <f>IF($J$6&lt;=0,"",H33/$J$6)</f>
        <v/>
      </c>
      <c r="J33" s="35">
        <f>C33-(F33-G33)</f>
        <v/>
      </c>
      <c r="K33" s="41">
        <f>C33*$D$10+$D$12-$D$11-H33</f>
        <v/>
      </c>
      <c r="L33" s="27">
        <f>E33*$D$10+$D$12-$D$11-H33</f>
        <v/>
      </c>
      <c r="M33" s="47">
        <f>IF(AND(K33&gt;0,H33&lt;=0),"OTIMO - piso positivo e entra com credito",IF(K33&gt;0,"BOM - piso positivo (margem garantida)",IF(H33&lt;=0,"Entra com credito, mas piso negativo","Piso negativo - avaliar")))</f>
        <v/>
      </c>
    </row>
    <row r="34">
      <c r="B34" s="15" t="n">
        <v>0.98</v>
      </c>
      <c r="C34" s="35">
        <f>ROUND($D$6*B34/5,0)*5</f>
        <v/>
      </c>
      <c r="D34" s="15" t="n">
        <v>1.07</v>
      </c>
      <c r="E34" s="35">
        <f>ROUND($D$6*D34/5,0)*5</f>
        <v/>
      </c>
      <c r="F34" s="35">
        <f>EXP(-$D$9*$D$8)*(C34*NORMSDIST(-(((LN($D$6/C34)+0.5*$D$7^2*$D$8)/($D$7*SQRT($D$8)))-($D$7*SQRT($D$8))))-$D$6*NORMSDIST(-((LN($D$6/C34)+0.5*$D$7^2*$D$8)/($D$7*SQRT($D$8)))))</f>
        <v/>
      </c>
      <c r="G34" s="35">
        <f>EXP(-$D$9*$D$8)*($D$6*NORMSDIST(((LN($D$6/E34)+0.5*$D$7^2*$D$8)/($D$7*SQRT($D$8))))-E34*NORMSDIST((((LN($D$6/E34)+0.5*$D$7^2*$D$8)/($D$7*SQRT($D$8)))-($D$7*SQRT($D$8)))))</f>
        <v/>
      </c>
      <c r="H34" s="17">
        <f>(F34-G34)*$D$10</f>
        <v/>
      </c>
      <c r="I34" s="24">
        <f>IF($J$6&lt;=0,"",H34/$J$6)</f>
        <v/>
      </c>
      <c r="J34" s="35">
        <f>C34-(F34-G34)</f>
        <v/>
      </c>
      <c r="K34" s="41">
        <f>C34*$D$10+$D$12-$D$11-H34</f>
        <v/>
      </c>
      <c r="L34" s="27">
        <f>E34*$D$10+$D$12-$D$11-H34</f>
        <v/>
      </c>
      <c r="M34" s="47">
        <f>IF(AND(K34&gt;0,H34&lt;=0),"OTIMO - piso positivo e entra com credito",IF(K34&gt;0,"BOM - piso positivo (margem garantida)",IF(H34&lt;=0,"Entra com credito, mas piso negativo","Piso negativo - avaliar")))</f>
        <v/>
      </c>
    </row>
    <row r="35">
      <c r="B35" s="15" t="n">
        <v>0.98</v>
      </c>
      <c r="C35" s="35">
        <f>ROUND($D$6*B35/5,0)*5</f>
        <v/>
      </c>
      <c r="D35" s="15" t="n">
        <v>1.1</v>
      </c>
      <c r="E35" s="35">
        <f>ROUND($D$6*D35/5,0)*5</f>
        <v/>
      </c>
      <c r="F35" s="35">
        <f>EXP(-$D$9*$D$8)*(C35*NORMSDIST(-(((LN($D$6/C35)+0.5*$D$7^2*$D$8)/($D$7*SQRT($D$8)))-($D$7*SQRT($D$8))))-$D$6*NORMSDIST(-((LN($D$6/C35)+0.5*$D$7^2*$D$8)/($D$7*SQRT($D$8)))))</f>
        <v/>
      </c>
      <c r="G35" s="35">
        <f>EXP(-$D$9*$D$8)*($D$6*NORMSDIST(((LN($D$6/E35)+0.5*$D$7^2*$D$8)/($D$7*SQRT($D$8))))-E35*NORMSDIST((((LN($D$6/E35)+0.5*$D$7^2*$D$8)/($D$7*SQRT($D$8)))-($D$7*SQRT($D$8)))))</f>
        <v/>
      </c>
      <c r="H35" s="17">
        <f>(F35-G35)*$D$10</f>
        <v/>
      </c>
      <c r="I35" s="24">
        <f>IF($J$6&lt;=0,"",H35/$J$6)</f>
        <v/>
      </c>
      <c r="J35" s="35">
        <f>C35-(F35-G35)</f>
        <v/>
      </c>
      <c r="K35" s="41">
        <f>C35*$D$10+$D$12-$D$11-H35</f>
        <v/>
      </c>
      <c r="L35" s="27">
        <f>E35*$D$10+$D$12-$D$11-H35</f>
        <v/>
      </c>
      <c r="M35" s="47">
        <f>IF(AND(K35&gt;0,H35&lt;=0),"OTIMO - piso positivo e entra com credito",IF(K35&gt;0,"BOM - piso positivo (margem garantida)",IF(H35&lt;=0,"Entra com credito, mas piso negativo","Piso negativo - avaliar")))</f>
        <v/>
      </c>
    </row>
    <row r="36">
      <c r="B36" s="15" t="n">
        <v>0.98</v>
      </c>
      <c r="C36" s="35">
        <f>ROUND($D$6*B36/5,0)*5</f>
        <v/>
      </c>
      <c r="D36" s="15" t="n">
        <v>1.14</v>
      </c>
      <c r="E36" s="35">
        <f>ROUND($D$6*D36/5,0)*5</f>
        <v/>
      </c>
      <c r="F36" s="35">
        <f>EXP(-$D$9*$D$8)*(C36*NORMSDIST(-(((LN($D$6/C36)+0.5*$D$7^2*$D$8)/($D$7*SQRT($D$8)))-($D$7*SQRT($D$8))))-$D$6*NORMSDIST(-((LN($D$6/C36)+0.5*$D$7^2*$D$8)/($D$7*SQRT($D$8)))))</f>
        <v/>
      </c>
      <c r="G36" s="35">
        <f>EXP(-$D$9*$D$8)*($D$6*NORMSDIST(((LN($D$6/E36)+0.5*$D$7^2*$D$8)/($D$7*SQRT($D$8))))-E36*NORMSDIST((((LN($D$6/E36)+0.5*$D$7^2*$D$8)/($D$7*SQRT($D$8)))-($D$7*SQRT($D$8)))))</f>
        <v/>
      </c>
      <c r="H36" s="17">
        <f>(F36-G36)*$D$10</f>
        <v/>
      </c>
      <c r="I36" s="24">
        <f>IF($J$6&lt;=0,"",H36/$J$6)</f>
        <v/>
      </c>
      <c r="J36" s="35">
        <f>C36-(F36-G36)</f>
        <v/>
      </c>
      <c r="K36" s="41">
        <f>C36*$D$10+$D$12-$D$11-H36</f>
        <v/>
      </c>
      <c r="L36" s="27">
        <f>E36*$D$10+$D$12-$D$11-H36</f>
        <v/>
      </c>
      <c r="M36" s="47">
        <f>IF(AND(K36&gt;0,H36&lt;=0),"OTIMO - piso positivo e entra com credito",IF(K36&gt;0,"BOM - piso positivo (margem garantida)",IF(H36&lt;=0,"Entra com credito, mas piso negativo","Piso negativo - avaliar")))</f>
        <v/>
      </c>
    </row>
    <row r="37">
      <c r="B37" s="15" t="n">
        <v>1</v>
      </c>
      <c r="C37" s="35">
        <f>ROUND($D$6*B37/5,0)*5</f>
        <v/>
      </c>
      <c r="D37" s="15" t="n">
        <v>1.1</v>
      </c>
      <c r="E37" s="35">
        <f>ROUND($D$6*D37/5,0)*5</f>
        <v/>
      </c>
      <c r="F37" s="35">
        <f>EXP(-$D$9*$D$8)*(C37*NORMSDIST(-(((LN($D$6/C37)+0.5*$D$7^2*$D$8)/($D$7*SQRT($D$8)))-($D$7*SQRT($D$8))))-$D$6*NORMSDIST(-((LN($D$6/C37)+0.5*$D$7^2*$D$8)/($D$7*SQRT($D$8)))))</f>
        <v/>
      </c>
      <c r="G37" s="35">
        <f>EXP(-$D$9*$D$8)*($D$6*NORMSDIST(((LN($D$6/E37)+0.5*$D$7^2*$D$8)/($D$7*SQRT($D$8))))-E37*NORMSDIST((((LN($D$6/E37)+0.5*$D$7^2*$D$8)/($D$7*SQRT($D$8)))-($D$7*SQRT($D$8)))))</f>
        <v/>
      </c>
      <c r="H37" s="17">
        <f>(F37-G37)*$D$10</f>
        <v/>
      </c>
      <c r="I37" s="24">
        <f>IF($J$6&lt;=0,"",H37/$J$6)</f>
        <v/>
      </c>
      <c r="J37" s="35">
        <f>C37-(F37-G37)</f>
        <v/>
      </c>
      <c r="K37" s="41">
        <f>C37*$D$10+$D$12-$D$11-H37</f>
        <v/>
      </c>
      <c r="L37" s="27">
        <f>E37*$D$10+$D$12-$D$11-H37</f>
        <v/>
      </c>
      <c r="M37" s="47">
        <f>IF(AND(K37&gt;0,H37&lt;=0),"OTIMO - piso positivo e entra com credito",IF(K37&gt;0,"BOM - piso positivo (margem garantida)",IF(H37&lt;=0,"Entra com credito, mas piso negativo","Piso negativo - avaliar")))</f>
        <v/>
      </c>
    </row>
    <row r="38">
      <c r="B38" s="15" t="n">
        <v>1</v>
      </c>
      <c r="C38" s="35">
        <f>ROUND($D$6*B38/5,0)*5</f>
        <v/>
      </c>
      <c r="D38" s="15" t="n">
        <v>1.14</v>
      </c>
      <c r="E38" s="35">
        <f>ROUND($D$6*D38/5,0)*5</f>
        <v/>
      </c>
      <c r="F38" s="35">
        <f>EXP(-$D$9*$D$8)*(C38*NORMSDIST(-(((LN($D$6/C38)+0.5*$D$7^2*$D$8)/($D$7*SQRT($D$8)))-($D$7*SQRT($D$8))))-$D$6*NORMSDIST(-((LN($D$6/C38)+0.5*$D$7^2*$D$8)/($D$7*SQRT($D$8)))))</f>
        <v/>
      </c>
      <c r="G38" s="35">
        <f>EXP(-$D$9*$D$8)*($D$6*NORMSDIST(((LN($D$6/E38)+0.5*$D$7^2*$D$8)/($D$7*SQRT($D$8))))-E38*NORMSDIST((((LN($D$6/E38)+0.5*$D$7^2*$D$8)/($D$7*SQRT($D$8)))-($D$7*SQRT($D$8)))))</f>
        <v/>
      </c>
      <c r="H38" s="17">
        <f>(F38-G38)*$D$10</f>
        <v/>
      </c>
      <c r="I38" s="24">
        <f>IF($J$6&lt;=0,"",H38/$J$6)</f>
        <v/>
      </c>
      <c r="J38" s="35">
        <f>C38-(F38-G38)</f>
        <v/>
      </c>
      <c r="K38" s="41">
        <f>C38*$D$10+$D$12-$D$11-H38</f>
        <v/>
      </c>
      <c r="L38" s="27">
        <f>E38*$D$10+$D$12-$D$11-H38</f>
        <v/>
      </c>
      <c r="M38" s="47">
        <f>IF(AND(K38&gt;0,H38&lt;=0),"OTIMO - piso positivo e entra com credito",IF(K38&gt;0,"BOM - piso positivo (margem garantida)",IF(H38&lt;=0,"Entra com credito, mas piso negativo","Piso negativo - avaliar")))</f>
        <v/>
      </c>
    </row>
    <row r="39">
      <c r="B39" s="15" t="n">
        <v>1</v>
      </c>
      <c r="C39" s="35">
        <f>ROUND($D$6*B39/5,0)*5</f>
        <v/>
      </c>
      <c r="D39" s="15" t="n">
        <v>1.19</v>
      </c>
      <c r="E39" s="35">
        <f>ROUND($D$6*D39/5,0)*5</f>
        <v/>
      </c>
      <c r="F39" s="35">
        <f>EXP(-$D$9*$D$8)*(C39*NORMSDIST(-(((LN($D$6/C39)+0.5*$D$7^2*$D$8)/($D$7*SQRT($D$8)))-($D$7*SQRT($D$8))))-$D$6*NORMSDIST(-((LN($D$6/C39)+0.5*$D$7^2*$D$8)/($D$7*SQRT($D$8)))))</f>
        <v/>
      </c>
      <c r="G39" s="35">
        <f>EXP(-$D$9*$D$8)*($D$6*NORMSDIST(((LN($D$6/E39)+0.5*$D$7^2*$D$8)/($D$7*SQRT($D$8))))-E39*NORMSDIST((((LN($D$6/E39)+0.5*$D$7^2*$D$8)/($D$7*SQRT($D$8)))-($D$7*SQRT($D$8)))))</f>
        <v/>
      </c>
      <c r="H39" s="17">
        <f>(F39-G39)*$D$10</f>
        <v/>
      </c>
      <c r="I39" s="24">
        <f>IF($J$6&lt;=0,"",H39/$J$6)</f>
        <v/>
      </c>
      <c r="J39" s="35">
        <f>C39-(F39-G39)</f>
        <v/>
      </c>
      <c r="K39" s="41">
        <f>C39*$D$10+$D$12-$D$11-H39</f>
        <v/>
      </c>
      <c r="L39" s="27">
        <f>E39*$D$10+$D$12-$D$11-H39</f>
        <v/>
      </c>
      <c r="M39" s="47">
        <f>IF(AND(K39&gt;0,H39&lt;=0),"OTIMO - piso positivo e entra com credito",IF(K39&gt;0,"BOM - piso positivo (margem garantida)",IF(H39&lt;=0,"Entra com credito, mas piso negativo","Piso negativo - avaliar")))</f>
        <v/>
      </c>
    </row>
    <row r="41">
      <c r="B41" s="5" t="inlineStr">
        <is>
          <t>Melhor piso de margem entre os collars</t>
        </is>
      </c>
      <c r="G41" s="41">
        <f>MAX(K30:K39)</f>
        <v/>
      </c>
      <c r="H41" s="6" t="inlineStr">
        <is>
          <t>Strike da put desse collar</t>
        </is>
      </c>
      <c r="J41" s="40">
        <f>INDEX(C30:C39,MATCH(MAX(K30:K39),K30:K39,0))</f>
        <v/>
      </c>
      <c r="K41" s="6" t="inlineStr">
        <is>
          <t>Strike da call</t>
        </is>
      </c>
      <c r="L41" s="40">
        <f>INDEX(E30:E39,MATCH(MAX(K30:K39),K30:K39,0))</f>
        <v/>
      </c>
    </row>
    <row r="42">
      <c r="B42" s="5" t="inlineStr">
        <is>
          <t>Collar mais barato (menor custo liquido)</t>
        </is>
      </c>
      <c r="G42" s="41">
        <f>MIN(H30:H39)</f>
        <v/>
      </c>
      <c r="H42" s="11" t="inlineStr">
        <is>
          <t>Negativo = entra com credito no caixa</t>
        </is>
      </c>
    </row>
    <row r="44">
      <c r="B44" s="3" t="inlineStr">
        <is>
          <t>RESSALVA IMPORTANTE SOBRE O MODELO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</row>
    <row r="45" ht="34" customHeight="1">
      <c r="B45" s="9" t="inlineStr">
        <is>
          <t>-</t>
        </is>
      </c>
      <c r="C45" s="11" t="inlineStr">
        <is>
          <t>Este modelo usa UMA volatilidade unica para todos os strikes (vol plana). O mercado real tem 'skew': puts e calls fora do dinheiro negociam com vols diferentes.</t>
        </is>
      </c>
    </row>
    <row r="46" ht="34" customHeight="1">
      <c r="B46" s="9" t="inlineStr">
        <is>
          <t>-</t>
        </is>
      </c>
      <c r="C46" s="11" t="inlineStr">
        <is>
          <t>Consequencia pratica: collars que aparecem aqui 'entrando com credito' podem virar custo na tela real, se a put estiver com vol maior que a call. No cafe costuma ocorrer o contrario (call com vol maior, por risco de quebra de safra), o que favoreceria o credito - mas isso precisa ser CONFERIDO, nao presumido.</t>
        </is>
      </c>
    </row>
    <row r="47" ht="34" customHeight="1">
      <c r="B47" s="9" t="inlineStr">
        <is>
          <t>-</t>
        </is>
      </c>
      <c r="C47" s="11" t="inlineStr">
        <is>
          <t>Antes de prometer qualquer estrutura ao cliente: peca a vol de cada strike a mesa da XP e substitua a celula D7 por vencimento/strike, ou refaca a conta com os premios de tela.</t>
        </is>
      </c>
    </row>
    <row r="48" ht="34" customHeight="1">
      <c r="B48" s="9" t="inlineStr">
        <is>
          <t>-</t>
        </is>
      </c>
      <c r="C48" s="11" t="inlineStr">
        <is>
          <t>Os strikes calculados aqui sao arredondados de 5 em 5 dolares e podem nao existir listados. Confirme quais strikes tem oferta firme.</t>
        </is>
      </c>
    </row>
  </sheetData>
  <mergeCells count="29">
    <mergeCell ref="L17:M17"/>
    <mergeCell ref="B7:C7"/>
    <mergeCell ref="L16:M16"/>
    <mergeCell ref="H41:I41"/>
    <mergeCell ref="L19:M19"/>
    <mergeCell ref="C45:M45"/>
    <mergeCell ref="B12:C12"/>
    <mergeCell ref="K8:M8"/>
    <mergeCell ref="B11:C11"/>
    <mergeCell ref="B42:F42"/>
    <mergeCell ref="L24:M24"/>
    <mergeCell ref="L18:M18"/>
    <mergeCell ref="C47:M47"/>
    <mergeCell ref="L23:M23"/>
    <mergeCell ref="B8:C8"/>
    <mergeCell ref="F6:I6"/>
    <mergeCell ref="L20:M20"/>
    <mergeCell ref="F7:I7"/>
    <mergeCell ref="H42:M42"/>
    <mergeCell ref="B10:C10"/>
    <mergeCell ref="C46:M46"/>
    <mergeCell ref="B26:M26"/>
    <mergeCell ref="B9:C9"/>
    <mergeCell ref="L22:M22"/>
    <mergeCell ref="C48:M48"/>
    <mergeCell ref="B6:C6"/>
    <mergeCell ref="L21:M21"/>
    <mergeCell ref="F8:I8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2026-08-18T14:39:42Z</dcterms:created>
  <dcterms:modified xsi:type="dcterms:W3CDTF">2026-08-18T14:39:42Z</dcterms:modified>
</cp:coreProperties>
</file>